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4F46871-A6FC-4133-8AEA-CCC0586829BA}" xr6:coauthVersionLast="47" xr6:coauthVersionMax="47" xr10:uidLastSave="{00000000-0000-0000-0000-000000000000}"/>
  <bookViews>
    <workbookView xWindow="-120" yWindow="-120" windowWidth="29040" windowHeight="15720" xr2:uid="{32742CE3-79BB-4D7E-95E0-BE911328BDFC}"/>
  </bookViews>
  <sheets>
    <sheet name="다름_1월_마케팅보고서" sheetId="9" r:id="rId1"/>
    <sheet name="▶네이버_Main" sheetId="3" r:id="rId2"/>
    <sheet name="1. 네이버_진행내역" sheetId="8" r:id="rId3"/>
    <sheet name="▶성예사_Main" sheetId="10" r:id="rId4"/>
    <sheet name="성예사_세부내역" sheetId="21" r:id="rId5"/>
    <sheet name="▶유튜브" sheetId="14" r:id="rId6"/>
    <sheet name="▶분위기 및 현황" sheetId="15" r:id="rId7"/>
    <sheet name="▶분위기 및 현황 (2)" sheetId="16" r:id="rId8"/>
    <sheet name="▶분위기 및 현황 (3)" sheetId="20" r:id="rId9"/>
  </sheets>
  <definedNames>
    <definedName name="_xlnm.Print_Area" localSheetId="1">▶네이버_Main!$A$1:$H$45</definedName>
    <definedName name="_xlnm.Print_Area" localSheetId="6">'▶분위기 및 현황'!$A$1:$H$46</definedName>
    <definedName name="_xlnm.Print_Area" localSheetId="7">'▶분위기 및 현황 (2)'!$A$1:$H$46</definedName>
    <definedName name="_xlnm.Print_Area" localSheetId="8">'▶분위기 및 현황 (3)'!$A$1:$H$46</definedName>
    <definedName name="_xlnm.Print_Area" localSheetId="3">▶성예사_Main!$A$1:$H$43</definedName>
    <definedName name="_xlnm.Print_Area" localSheetId="5">▶유튜브!$A$1:$H$45</definedName>
    <definedName name="_xlnm.Print_Area" localSheetId="2">'1. 네이버_진행내역'!$A$1:$H$43</definedName>
    <definedName name="_xlnm.Print_Area" localSheetId="0">다름_1월_마케팅보고서!$A$1:$H$44</definedName>
    <definedName name="_xlnm.Print_Area" localSheetId="4">성예사_세부내역!$A$1:$G$43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14" l="1"/>
  <c r="F39" i="14"/>
  <c r="E15" i="10"/>
  <c r="A15" i="10"/>
  <c r="F15" i="3"/>
  <c r="D15" i="3"/>
  <c r="B15" i="3"/>
  <c r="B22" i="8" a="1"/>
  <c r="B22" i="8" s="1"/>
  <c r="B21" i="8" a="1"/>
  <c r="B21" i="8" s="1"/>
  <c r="B28" i="8" a="1"/>
  <c r="B28" i="8" s="1"/>
  <c r="B27" i="8" a="1"/>
  <c r="B27" i="8" s="1"/>
  <c r="B26" i="8" a="1"/>
  <c r="B26" i="8" s="1"/>
  <c r="B25" i="8" a="1"/>
  <c r="B25" i="8" s="1"/>
  <c r="B24" i="8"/>
  <c r="B24" i="8" a="1"/>
  <c r="B20" i="8" a="1"/>
  <c r="B20" i="8" s="1"/>
  <c r="B19" i="8" a="1"/>
  <c r="B19" i="8" s="1"/>
  <c r="B18" i="8" a="1"/>
  <c r="B18" i="8" s="1"/>
  <c r="B17" i="8" a="1"/>
  <c r="B17" i="8" s="1"/>
  <c r="B16" i="8" a="1"/>
  <c r="B16" i="8" s="1"/>
  <c r="B15" i="8" a="1"/>
  <c r="B15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G9" i="3"/>
  <c r="F43" i="21" l="1"/>
  <c r="E43" i="21"/>
  <c r="F43" i="8" l="1"/>
  <c r="H45" i="14" l="1"/>
  <c r="E45" i="14" l="1"/>
  <c r="D45" i="14"/>
  <c r="G45" i="14" l="1"/>
  <c r="B42" i="8" l="1" a="1"/>
  <c r="B42" i="8" s="1"/>
  <c r="B41" i="8" a="1"/>
  <c r="B41" i="8" s="1"/>
  <c r="B40" i="8" a="1"/>
  <c r="B40" i="8" s="1"/>
  <c r="B39" i="8" a="1"/>
  <c r="B39" i="8" s="1"/>
  <c r="B38" i="8" a="1"/>
  <c r="B38" i="8" s="1"/>
  <c r="B37" i="8" a="1"/>
  <c r="B37" i="8" s="1"/>
  <c r="B36" i="8" a="1"/>
  <c r="B36" i="8" s="1"/>
  <c r="B35" i="8" a="1"/>
  <c r="B35" i="8" s="1"/>
  <c r="B34" i="8" a="1"/>
  <c r="B34" i="8" s="1"/>
  <c r="B33" i="8" a="1"/>
  <c r="B33" i="8" s="1"/>
  <c r="B32" i="8" a="1"/>
  <c r="B32" i="8" s="1"/>
  <c r="B31" i="8" a="1"/>
  <c r="B31" i="8" s="1"/>
  <c r="B30" i="8" a="1"/>
  <c r="B30" i="8" s="1"/>
  <c r="B29" i="8" a="1"/>
  <c r="B29" i="8" s="1"/>
  <c r="C9" i="3" l="1"/>
  <c r="E43" i="8"/>
  <c r="E9" i="3" s="1"/>
  <c r="H22" i="3"/>
  <c r="H21" i="3"/>
  <c r="H20" i="3"/>
  <c r="H21" i="10" l="1"/>
  <c r="H20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<sst xmlns="http://schemas.openxmlformats.org/spreadsheetml/2006/main" count="195" uniqueCount="143">
  <si>
    <t>카페</t>
    <phoneticPr fontId="1" type="noConversion"/>
  </si>
  <si>
    <t>조회수</t>
    <phoneticPr fontId="1" type="noConversion"/>
  </si>
  <si>
    <t>댓글</t>
    <phoneticPr fontId="1" type="noConversion"/>
  </si>
  <si>
    <t>쪽지발송</t>
    <phoneticPr fontId="1" type="noConversion"/>
  </si>
  <si>
    <t>여우야</t>
    <phoneticPr fontId="1" type="noConversion"/>
  </si>
  <si>
    <t>가아사</t>
    <phoneticPr fontId="1" type="noConversion"/>
  </si>
  <si>
    <t>구분</t>
    <phoneticPr fontId="1" type="noConversion"/>
  </si>
  <si>
    <t>총 합계</t>
    <phoneticPr fontId="1" type="noConversion"/>
  </si>
  <si>
    <t>게시글</t>
    <phoneticPr fontId="1" type="noConversion"/>
  </si>
  <si>
    <r>
      <rPr>
        <b/>
        <sz val="14"/>
        <color rgb="FF6DCB6B"/>
        <rFont val="맑은 고딕"/>
        <family val="3"/>
        <charset val="129"/>
        <scheme val="minor"/>
      </rPr>
      <t>네이버 카페</t>
    </r>
    <r>
      <rPr>
        <b/>
        <sz val="14"/>
        <color theme="1"/>
        <rFont val="맑은 고딕"/>
        <family val="3"/>
        <charset val="129"/>
        <scheme val="minor"/>
      </rPr>
      <t xml:space="preserve"> 바이럴 진행 내역</t>
    </r>
    <phoneticPr fontId="1" type="noConversion"/>
  </si>
  <si>
    <t>no</t>
    <phoneticPr fontId="1" type="noConversion"/>
  </si>
  <si>
    <t>링크</t>
    <phoneticPr fontId="1" type="noConversion"/>
  </si>
  <si>
    <t>제목</t>
    <phoneticPr fontId="1" type="noConversion"/>
  </si>
  <si>
    <t>LIVE</t>
    <phoneticPr fontId="1" type="noConversion"/>
  </si>
  <si>
    <t>쪽지</t>
    <phoneticPr fontId="1" type="noConversion"/>
  </si>
  <si>
    <t>성형위키</t>
    <phoneticPr fontId="1" type="noConversion"/>
  </si>
  <si>
    <t>재잘재잘</t>
    <phoneticPr fontId="1" type="noConversion"/>
  </si>
  <si>
    <t>합                    계</t>
    <phoneticPr fontId="1" type="noConversion"/>
  </si>
  <si>
    <t>Advertising progress details and report</t>
    <phoneticPr fontId="1" type="noConversion"/>
  </si>
  <si>
    <r>
      <t xml:space="preserve">  월간 바이럴 </t>
    </r>
    <r>
      <rPr>
        <b/>
        <sz val="10"/>
        <color rgb="FFCCEFFC"/>
        <rFont val="맑은 고딕"/>
        <family val="3"/>
        <charset val="129"/>
        <scheme val="minor"/>
      </rPr>
      <t>특이사항</t>
    </r>
    <phoneticPr fontId="1" type="noConversion"/>
  </si>
  <si>
    <r>
      <t xml:space="preserve">  전월 대비 </t>
    </r>
    <r>
      <rPr>
        <b/>
        <sz val="10"/>
        <color rgb="FFCCEFFC"/>
        <rFont val="맑은 고딕"/>
        <family val="3"/>
        <charset val="129"/>
        <scheme val="minor"/>
      </rPr>
      <t>증감률(%)</t>
    </r>
    <phoneticPr fontId="1" type="noConversion"/>
  </si>
  <si>
    <r>
      <rPr>
        <b/>
        <sz val="10"/>
        <color theme="0"/>
        <rFont val="맑은 고딕"/>
        <family val="3"/>
        <charset val="129"/>
        <scheme val="minor"/>
      </rPr>
      <t xml:space="preserve">  바이럴</t>
    </r>
    <r>
      <rPr>
        <b/>
        <sz val="10"/>
        <color rgb="FFCCEFFC"/>
        <rFont val="맑은 고딕"/>
        <family val="3"/>
        <charset val="129"/>
        <scheme val="minor"/>
      </rPr>
      <t xml:space="preserve"> 진행 수량</t>
    </r>
    <phoneticPr fontId="1" type="noConversion"/>
  </si>
  <si>
    <r>
      <rPr>
        <b/>
        <sz val="14"/>
        <color rgb="FFD47486"/>
        <rFont val="맑은 고딕"/>
        <family val="3"/>
        <charset val="129"/>
        <scheme val="minor"/>
      </rPr>
      <t>성예사</t>
    </r>
    <r>
      <rPr>
        <b/>
        <sz val="14"/>
        <color theme="1"/>
        <rFont val="맑은 고딕"/>
        <family val="3"/>
        <charset val="129"/>
        <scheme val="minor"/>
      </rPr>
      <t xml:space="preserve"> 바이럴 진행 내역</t>
    </r>
    <phoneticPr fontId="1" type="noConversion"/>
  </si>
  <si>
    <t>A+ 여우야</t>
    <phoneticPr fontId="1" type="noConversion"/>
  </si>
  <si>
    <t>카페 이름</t>
    <phoneticPr fontId="1" type="noConversion"/>
  </si>
  <si>
    <t>카페 고유주소</t>
    <phoneticPr fontId="1" type="noConversion"/>
  </si>
  <si>
    <t>feko</t>
    <phoneticPr fontId="1" type="noConversion"/>
  </si>
  <si>
    <t>luxury009</t>
    <phoneticPr fontId="1" type="noConversion"/>
  </si>
  <si>
    <t>juliett00</t>
    <phoneticPr fontId="1" type="noConversion"/>
  </si>
  <si>
    <t>fox5282</t>
    <phoneticPr fontId="1" type="noConversion"/>
  </si>
  <si>
    <t>knife67</t>
    <phoneticPr fontId="1" type="noConversion"/>
  </si>
  <si>
    <r>
      <rPr>
        <b/>
        <sz val="10"/>
        <color theme="0"/>
        <rFont val="맑은 고딕"/>
        <family val="3"/>
        <charset val="129"/>
        <scheme val="minor"/>
      </rPr>
      <t xml:space="preserve">  바이럴</t>
    </r>
    <r>
      <rPr>
        <b/>
        <sz val="10"/>
        <color rgb="FFCCEFFC"/>
        <rFont val="맑은 고딕"/>
        <family val="3"/>
        <charset val="129"/>
        <scheme val="minor"/>
      </rPr>
      <t xml:space="preserve"> 진행 현황</t>
    </r>
    <phoneticPr fontId="1" type="noConversion"/>
  </si>
  <si>
    <t>다름성형외과 바이럴 카페 리스트</t>
    <phoneticPr fontId="1" type="noConversion"/>
  </si>
  <si>
    <t>여생남정</t>
    <phoneticPr fontId="1" type="noConversion"/>
  </si>
  <si>
    <t>suddes</t>
    <phoneticPr fontId="1" type="noConversion"/>
  </si>
  <si>
    <t>지살사</t>
    <phoneticPr fontId="1" type="noConversion"/>
  </si>
  <si>
    <t>newsmaker</t>
    <phoneticPr fontId="1" type="noConversion"/>
  </si>
  <si>
    <t>요청일자</t>
    <phoneticPr fontId="1" type="noConversion"/>
  </si>
  <si>
    <t>광고기간</t>
    <phoneticPr fontId="1" type="noConversion"/>
  </si>
  <si>
    <t>노출수</t>
  </si>
  <si>
    <t>조회수</t>
  </si>
  <si>
    <t>조회율</t>
  </si>
  <si>
    <t>평균 CPV</t>
  </si>
  <si>
    <t>비용</t>
  </si>
  <si>
    <t>전체: 동영상</t>
  </si>
  <si>
    <r>
      <rPr>
        <b/>
        <sz val="14"/>
        <color rgb="FFC00000"/>
        <rFont val="맑은 고딕"/>
        <family val="3"/>
        <charset val="129"/>
        <scheme val="minor"/>
      </rPr>
      <t>유튜브 구글애즈</t>
    </r>
    <r>
      <rPr>
        <b/>
        <sz val="14"/>
        <rFont val="맑은 고딕"/>
        <family val="3"/>
        <charset val="129"/>
        <scheme val="minor"/>
      </rPr>
      <t xml:space="preserve"> 광고 집행 내역</t>
    </r>
    <phoneticPr fontId="1" type="noConversion"/>
  </si>
  <si>
    <t>동영상 제목</t>
    <phoneticPr fontId="1" type="noConversion"/>
  </si>
  <si>
    <t>광고유형</t>
  </si>
  <si>
    <t>광고 진행여부</t>
  </si>
  <si>
    <t>동영상</t>
    <phoneticPr fontId="1" type="noConversion"/>
  </si>
  <si>
    <t>사용중</t>
    <phoneticPr fontId="1" type="noConversion"/>
  </si>
  <si>
    <r>
      <t xml:space="preserve">  월간 </t>
    </r>
    <r>
      <rPr>
        <b/>
        <sz val="10"/>
        <color rgb="FFCCEFFC"/>
        <rFont val="맑은 고딕"/>
        <family val="3"/>
        <charset val="129"/>
        <scheme val="minor"/>
      </rPr>
      <t>바이럴 키워드</t>
    </r>
    <phoneticPr fontId="1" type="noConversion"/>
  </si>
  <si>
    <t>No</t>
    <phoneticPr fontId="1" type="noConversion"/>
  </si>
  <si>
    <t>광고 종료</t>
    <phoneticPr fontId="1" type="noConversion"/>
  </si>
  <si>
    <t>콧볼축소 외측절제? 내측절제? 나에게 맞는 방법은!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</si>
  <si>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</si>
  <si>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</si>
  <si>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</si>
  <si>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25.06.09</t>
  </si>
  <si>
    <t>매부리 무조건 깎는다고 예뻐지지 않습니다! 매부리의 함정</t>
    <phoneticPr fontId="1" type="noConversion"/>
  </si>
  <si>
    <t>25.07.29</t>
    <phoneticPr fontId="1" type="noConversion"/>
  </si>
  <si>
    <r>
      <t xml:space="preserve">
</t>
    </r>
    <r>
      <rPr>
        <b/>
        <u/>
        <sz val="11"/>
        <color theme="1"/>
        <rFont val="맑은 고딕"/>
        <family val="3"/>
        <charset val="129"/>
        <scheme val="minor"/>
      </rPr>
      <t>성형과목 :코</t>
    </r>
    <r>
      <rPr>
        <sz val="11"/>
        <color theme="1"/>
        <rFont val="맑은 고딕"/>
        <family val="3"/>
        <charset val="129"/>
        <scheme val="minor"/>
      </rPr>
      <t xml:space="preserve">
1. 최근 코 관련 트렌드 
- 지난 달과 비슷한 분위기
- 직반라인, 직선(남자), 매부리, 콧볼축소, 비순각 등 디테일한 키워드 언급 
- 자려한 스타일 선호도 지속, 비절개 바이럴 증가 추세 
2. 카페 내에서 바이럴 진행 _많이 보이는 병원
코원, 메이드영, 더도어, 땡큐, 루브르, 로그, 나나
3. 새로 언급되는 병원
리비안, 트랜드, 기프트(강남 위치)
</t>
    </r>
    <r>
      <rPr>
        <b/>
        <u/>
        <sz val="11"/>
        <color theme="1"/>
        <rFont val="맑은 고딕"/>
        <family val="3"/>
        <charset val="129"/>
        <scheme val="minor"/>
      </rPr>
      <t xml:space="preserve">성형과목 : 눈 </t>
    </r>
    <r>
      <rPr>
        <b/>
        <sz val="11"/>
        <color theme="1"/>
        <rFont val="맑은 고딕"/>
        <family val="3"/>
        <charset val="129"/>
        <scheme val="minor"/>
      </rPr>
      <t xml:space="preserve">
</t>
    </r>
    <r>
      <rPr>
        <sz val="11"/>
        <color theme="1"/>
        <rFont val="맑은 고딕"/>
        <family val="3"/>
        <charset val="129"/>
        <scheme val="minor"/>
      </rPr>
      <t xml:space="preserve">
1. 최근 눈 관련 트렌드
- 세미아웃, 자연스러운 인아웃, 트임 언급 글 증가함 
2. 카페 내에서 바이럴 진행 시 많이 보이는 병원
디에이, 드레스, 자연주의, 일미리, 팝, 시선, 에픽, 땡큐
3. 새로 언급되는 병원
에이엠, 제로원(강남 위치) 
</t>
    </r>
    <phoneticPr fontId="1" type="noConversion"/>
  </si>
  <si>
    <t>전후사진으로 보는 코 보형물 제거 이야기 #코보형물제거</t>
    <phoneticPr fontId="1" type="noConversion"/>
  </si>
  <si>
    <t>늑연골 사용하면 코끝이 안떨어질까? #코끝떨어짐</t>
    <phoneticPr fontId="1" type="noConversion"/>
  </si>
  <si>
    <r>
      <t xml:space="preserve">바이럴 </t>
    </r>
    <r>
      <rPr>
        <b/>
        <sz val="14"/>
        <color theme="3" tint="0.499984740745262"/>
        <rFont val="맑은 고딕"/>
        <family val="3"/>
        <charset val="129"/>
        <scheme val="minor"/>
      </rPr>
      <t>진행 세부 내용</t>
    </r>
    <phoneticPr fontId="1" type="noConversion"/>
  </si>
  <si>
    <t>12월</t>
    <phoneticPr fontId="1" type="noConversion"/>
  </si>
  <si>
    <t>1월</t>
    <phoneticPr fontId="1" type="noConversion"/>
  </si>
  <si>
    <t>25.08.27</t>
  </si>
  <si>
    <t xml:space="preserve">1. 실환자 후기에 긍정댓글 및 정보 요청 작업 댓글 </t>
    <phoneticPr fontId="1" type="noConversion"/>
  </si>
  <si>
    <t xml:space="preserve">2. 기존 진행한 후기_주기적으로 모니터링 및 댓글 </t>
    <phoneticPr fontId="1" type="noConversion"/>
  </si>
  <si>
    <t>2월</t>
    <phoneticPr fontId="1" type="noConversion"/>
  </si>
  <si>
    <t>_</t>
    <phoneticPr fontId="1" type="noConversion"/>
  </si>
  <si>
    <t>18건</t>
    <phoneticPr fontId="1" type="noConversion"/>
  </si>
  <si>
    <t xml:space="preserve">3. 가아사 후기글 쪽지 전달 지속 _ 추가건 진행 제안 </t>
    <phoneticPr fontId="1" type="noConversion"/>
  </si>
  <si>
    <t>25.09.19</t>
  </si>
  <si>
    <t>광고중</t>
  </si>
  <si>
    <t>25.12.15</t>
    <phoneticPr fontId="1" type="noConversion"/>
  </si>
  <si>
    <t xml:space="preserve">광고 종료 </t>
    <phoneticPr fontId="1" type="noConversion"/>
  </si>
  <si>
    <t>강남코성형 트렌드 변화 실리콘 대신 사용하는 보형물?</t>
    <phoneticPr fontId="1" type="noConversion"/>
  </si>
  <si>
    <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[다름성형외과] 키워드 상담후기 상위 노출 </t>
    </r>
    <r>
      <rPr>
        <sz val="11"/>
        <color theme="1"/>
        <rFont val="맑은 고딕"/>
        <family val="2"/>
        <charset val="129"/>
        <scheme val="minor"/>
      </rPr>
      <t xml:space="preserve">
</t>
    </r>
    <phoneticPr fontId="1" type="noConversion"/>
  </si>
  <si>
    <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반응 좋았던 후기 </t>
    </r>
    <r>
      <rPr>
        <sz val="11"/>
        <color theme="1"/>
        <rFont val="맑은 고딕"/>
        <family val="2"/>
        <charset val="129"/>
        <scheme val="minor"/>
      </rPr>
      <t xml:space="preserve">
</t>
    </r>
    <phoneticPr fontId="1" type="noConversion"/>
  </si>
  <si>
    <t>1월 광고 진행내역 및 광고보고서</t>
    <phoneticPr fontId="1" type="noConversion"/>
  </si>
  <si>
    <t>26.1.01 ~ 26.1.31</t>
    <phoneticPr fontId="1" type="noConversion"/>
  </si>
  <si>
    <r>
      <t xml:space="preserve">  2025년~26년 월별 마케팅 </t>
    </r>
    <r>
      <rPr>
        <b/>
        <sz val="10"/>
        <color rgb="FFCCEFFC"/>
        <rFont val="맑은 고딕"/>
        <family val="3"/>
        <charset val="129"/>
        <scheme val="minor"/>
      </rPr>
      <t>진행현황</t>
    </r>
    <phoneticPr fontId="1" type="noConversion"/>
  </si>
  <si>
    <r>
      <t xml:space="preserve">  2025년~26년 월별 </t>
    </r>
    <r>
      <rPr>
        <b/>
        <sz val="10"/>
        <color rgb="FFCCEFFC"/>
        <rFont val="맑은 고딕"/>
        <family val="3"/>
        <charset val="129"/>
        <scheme val="minor"/>
      </rPr>
      <t>조회수</t>
    </r>
    <phoneticPr fontId="1" type="noConversion"/>
  </si>
  <si>
    <r>
      <t xml:space="preserve">  2025년~26년 월별 </t>
    </r>
    <r>
      <rPr>
        <b/>
        <sz val="10"/>
        <color rgb="FFCCEFFC"/>
        <rFont val="맑은 고딕"/>
        <family val="3"/>
        <charset val="129"/>
        <scheme val="minor"/>
      </rPr>
      <t>쪽지발송</t>
    </r>
    <phoneticPr fontId="1" type="noConversion"/>
  </si>
  <si>
    <r>
      <t>1월</t>
    </r>
    <r>
      <rPr>
        <b/>
        <sz val="15"/>
        <color rgb="FF6DCB6B"/>
        <rFont val="맑은 고딕"/>
        <family val="3"/>
        <charset val="129"/>
        <scheme val="minor"/>
      </rPr>
      <t xml:space="preserve"> NAVER </t>
    </r>
    <r>
      <rPr>
        <b/>
        <sz val="15"/>
        <color theme="0"/>
        <rFont val="맑은 고딕"/>
        <family val="3"/>
        <charset val="129"/>
        <scheme val="minor"/>
      </rPr>
      <t>바이럴 진행 세부 내역</t>
    </r>
    <phoneticPr fontId="1" type="noConversion"/>
  </si>
  <si>
    <r>
      <t xml:space="preserve">  2025년~26년 월별 </t>
    </r>
    <r>
      <rPr>
        <b/>
        <sz val="10"/>
        <color rgb="FFCCEFFC"/>
        <rFont val="맑은 고딕"/>
        <family val="3"/>
        <charset val="129"/>
        <scheme val="minor"/>
      </rPr>
      <t>댓글수</t>
    </r>
    <phoneticPr fontId="1" type="noConversion"/>
  </si>
  <si>
    <t>https://cafe.naver.com/feko/10269482</t>
    <phoneticPr fontId="1" type="noConversion"/>
  </si>
  <si>
    <t>https://cafe.naver.com/feko/10303624</t>
    <phoneticPr fontId="1" type="noConversion"/>
  </si>
  <si>
    <t>https://cafe.naver.com/feko/10320974</t>
    <phoneticPr fontId="1" type="noConversion"/>
  </si>
  <si>
    <t>https://cafe.naver.com/feko/10325024</t>
    <phoneticPr fontId="1" type="noConversion"/>
  </si>
  <si>
    <t>https://cafe.naver.com/feko/10329742</t>
    <phoneticPr fontId="1" type="noConversion"/>
  </si>
  <si>
    <t>https://cafe.naver.com/feko/10340757</t>
    <phoneticPr fontId="1" type="noConversion"/>
  </si>
  <si>
    <t>https://cafe.naver.com/feko/10351272</t>
    <phoneticPr fontId="1" type="noConversion"/>
  </si>
  <si>
    <t>https://cafe.naver.com/feko/10259063</t>
    <phoneticPr fontId="1" type="noConversion"/>
  </si>
  <si>
    <t>https://cafe.naver.com/feko/10265689</t>
    <phoneticPr fontId="1" type="noConversion"/>
  </si>
  <si>
    <t>https://cafe.naver.com/feko/10274054</t>
    <phoneticPr fontId="1" type="noConversion"/>
  </si>
  <si>
    <t>https://cafe.naver.com/luxury009/1405138</t>
    <phoneticPr fontId="1" type="noConversion"/>
  </si>
  <si>
    <t>https://cafe.naver.com/feko/10283223</t>
    <phoneticPr fontId="1" type="noConversion"/>
  </si>
  <si>
    <t>https://cafe.naver.com/feko/10294415</t>
    <phoneticPr fontId="1" type="noConversion"/>
  </si>
  <si>
    <t>https://cafe.naver.com/feko/10315937</t>
    <phoneticPr fontId="1" type="noConversion"/>
  </si>
  <si>
    <t>https://cafe.naver.com/feko/10361332</t>
    <phoneticPr fontId="1" type="noConversion"/>
  </si>
  <si>
    <t>눈밑지랑 눈재수술 같이 받을 수 있는 병원 알려줄 사람~~~</t>
    <phoneticPr fontId="1" type="noConversion"/>
  </si>
  <si>
    <t>구축코 전체제거하고 코끝재수술 하신분들~</t>
    <phoneticPr fontId="1" type="noConversion"/>
  </si>
  <si>
    <t>중년눈수술 자연스럽게 잘해주는 병원들이여</t>
    <phoneticPr fontId="1" type="noConversion"/>
  </si>
  <si>
    <t xml:space="preserve">코재수술 현실적으로 상담 + 어울리는 자연스러운 라인 찾아주는 원장님 </t>
    <phoneticPr fontId="1" type="noConversion"/>
  </si>
  <si>
    <t>중년눈밑 병원들 알아보기 시작했어요!!</t>
    <phoneticPr fontId="1" type="noConversion"/>
  </si>
  <si>
    <t>눈밑지, 하안검 다름성형외과 후기</t>
    <phoneticPr fontId="1" type="noConversion"/>
  </si>
  <si>
    <t>엄마 상안검? 하안검 or 눈밑지 자연스럽게 잘해주는 병원</t>
    <phoneticPr fontId="1" type="noConversion"/>
  </si>
  <si>
    <t>다름성형외과 중년눈 눈밑지, 하안검 상담후기</t>
    <phoneticPr fontId="1" type="noConversion"/>
  </si>
  <si>
    <t>다름성형외과 자려한 스타일 무보형물코수술 상담후기!</t>
    <phoneticPr fontId="1" type="noConversion"/>
  </si>
  <si>
    <t>매부리코 비중격만 사용해서 무보형물코수술 받은거 라인어때요?</t>
    <phoneticPr fontId="1" type="noConversion"/>
  </si>
  <si>
    <t>복코+매부리코 무보형물코수술 10달차 후기</t>
    <phoneticPr fontId="1" type="noConversion"/>
  </si>
  <si>
    <t>엄마 하안검 7일차라 실밥제거하고 왔는데 어떤가요?</t>
    <phoneticPr fontId="1" type="noConversion"/>
  </si>
  <si>
    <t>다름성형외과 눈밑지방재배치 상담후기</t>
    <phoneticPr fontId="1" type="noConversion"/>
  </si>
  <si>
    <t>무보형물코수술 1주차 전후후기</t>
    <phoneticPr fontId="1" type="noConversion"/>
  </si>
  <si>
    <t>무보형물코수술 후기! 매부리코 비중격만 사용해서 코끝세웠어요!</t>
    <phoneticPr fontId="1" type="noConversion"/>
  </si>
  <si>
    <t>1. 후기형 게시글 8건 진행 (상담 및 텍스트후기)</t>
    <phoneticPr fontId="1" type="noConversion"/>
  </si>
  <si>
    <t>2. 사진 후기 _ 5건 진행</t>
    <phoneticPr fontId="1" type="noConversion"/>
  </si>
  <si>
    <t xml:space="preserve">3. 코 : 무보형물, 복코, 매부리코, 코재수술, </t>
    <phoneticPr fontId="1" type="noConversion"/>
  </si>
  <si>
    <t>4. 눈 : 중년눈수술, 눈밑지, 상안검, 하안검</t>
    <phoneticPr fontId="1" type="noConversion"/>
  </si>
  <si>
    <r>
      <t>1월</t>
    </r>
    <r>
      <rPr>
        <b/>
        <sz val="15"/>
        <color rgb="FF6DCB6B"/>
        <rFont val="맑은 고딕"/>
        <family val="3"/>
        <charset val="129"/>
        <scheme val="minor"/>
      </rPr>
      <t xml:space="preserve"> </t>
    </r>
    <r>
      <rPr>
        <b/>
        <sz val="15"/>
        <color rgb="FFD47486"/>
        <rFont val="맑은 고딕"/>
        <family val="3"/>
        <charset val="129"/>
        <scheme val="minor"/>
      </rPr>
      <t>SUNGYESA</t>
    </r>
    <r>
      <rPr>
        <b/>
        <sz val="15"/>
        <color rgb="FF6DCB6B"/>
        <rFont val="맑은 고딕"/>
        <family val="3"/>
        <charset val="129"/>
        <scheme val="minor"/>
      </rPr>
      <t xml:space="preserve"> </t>
    </r>
    <r>
      <rPr>
        <b/>
        <sz val="15"/>
        <color theme="0"/>
        <rFont val="맑은 고딕"/>
        <family val="3"/>
        <charset val="129"/>
        <scheme val="minor"/>
      </rPr>
      <t>바이럴 진행 세부 내역</t>
    </r>
    <phoneticPr fontId="1" type="noConversion"/>
  </si>
  <si>
    <t>https://sungyesa.com/free/6483505</t>
    <phoneticPr fontId="1" type="noConversion"/>
  </si>
  <si>
    <t>https://sungyesa.com/free/6492236</t>
  </si>
  <si>
    <t>https://sungyesa.com/free/6506814</t>
    <phoneticPr fontId="1" type="noConversion"/>
  </si>
  <si>
    <t>https://sungyesa.com/free/6519585</t>
    <phoneticPr fontId="1" type="noConversion"/>
  </si>
  <si>
    <t>https://sungyesa.com/free/6459740</t>
    <phoneticPr fontId="1" type="noConversion"/>
  </si>
  <si>
    <t>https://sungyesa.com/free/6463407</t>
    <phoneticPr fontId="1" type="noConversion"/>
  </si>
  <si>
    <t>https://sungyesa.com/free/6511192</t>
    <phoneticPr fontId="1" type="noConversion"/>
  </si>
  <si>
    <t>https://sungyesa.com/nosenew/387463</t>
    <phoneticPr fontId="1" type="noConversion"/>
  </si>
  <si>
    <t>[눈성형] 눈재수술 받아야 할거같은데 병원 알아보기가 진짜 힘들다,,ㅜ</t>
    <phoneticPr fontId="1" type="noConversion"/>
  </si>
  <si>
    <t>[코성형] 완전 자연스러운 코수술</t>
    <phoneticPr fontId="1" type="noConversion"/>
  </si>
  <si>
    <t>[눈성형] 눈재수술이 필요한데 진짜 자연스럽게 하고싶거든...?</t>
    <phoneticPr fontId="1" type="noConversion"/>
  </si>
  <si>
    <t>[코성형] 복코교정 실패, 코수술하면 세련미가 살아날거라더니 나는 남자들 콧대에 코봉이를 만들어놓음</t>
    <phoneticPr fontId="1" type="noConversion"/>
  </si>
  <si>
    <t>[눈성형] 재수술 한달차인데 겹주름 졌던건 없어졌고 라인도 양쪽 깔끔</t>
    <phoneticPr fontId="1" type="noConversion"/>
  </si>
  <si>
    <t>[코성형] 성괴 피노키오 코로 못살겠어서 자연스럽게 재수술 받았는데 ㅁㅊ 이게 낫네;</t>
    <phoneticPr fontId="1" type="noConversion"/>
  </si>
  <si>
    <t>[코성형] 코재수술 하려는 사람이 말하는 코성형 손품방법</t>
    <phoneticPr fontId="1" type="noConversion"/>
  </si>
  <si>
    <t>[코제거] 수술한 티가 너무 많이 나고 불편해서 첫수술 받은거 제거하고 무보형물로 재수술한 후기야..ㅎ</t>
    <phoneticPr fontId="1" type="noConversion"/>
  </si>
  <si>
    <t xml:space="preserve">1. 진행 게시글 ----&gt; 실시간 인기글 노출 </t>
    <phoneticPr fontId="1" type="noConversion"/>
  </si>
  <si>
    <r>
      <t xml:space="preserve">광고 </t>
    </r>
    <r>
      <rPr>
        <b/>
        <sz val="10"/>
        <color rgb="FFCCEFFC"/>
        <rFont val="맑은 고딕"/>
        <family val="3"/>
        <charset val="129"/>
        <scheme val="minor"/>
      </rPr>
      <t>캠페인 진행 내역</t>
    </r>
    <r>
      <rPr>
        <b/>
        <sz val="10"/>
        <color theme="0"/>
        <rFont val="맑은 고딕"/>
        <family val="3"/>
        <charset val="129"/>
        <scheme val="minor"/>
      </rPr>
      <t xml:space="preserve"> (25.06.01~26.1.31)</t>
    </r>
    <phoneticPr fontId="1" type="noConversion"/>
  </si>
  <si>
    <r>
      <rPr>
        <b/>
        <sz val="10"/>
        <color theme="0"/>
        <rFont val="맑은 고딕"/>
        <family val="3"/>
        <charset val="129"/>
        <scheme val="minor"/>
      </rPr>
      <t xml:space="preserve">유튜브 </t>
    </r>
    <r>
      <rPr>
        <b/>
        <sz val="10"/>
        <color rgb="FFCCEFFC"/>
        <rFont val="맑은 고딕"/>
        <family val="3"/>
        <charset val="129"/>
        <scheme val="minor"/>
      </rPr>
      <t>캠페인 보고서</t>
    </r>
    <r>
      <rPr>
        <b/>
        <sz val="10"/>
        <color theme="0"/>
        <rFont val="맑은 고딕"/>
        <family val="3"/>
        <charset val="129"/>
        <scheme val="minor"/>
      </rPr>
      <t xml:space="preserve"> (25.012.01~26.1.31)</t>
    </r>
    <phoneticPr fontId="1" type="noConversion"/>
  </si>
  <si>
    <r>
      <t xml:space="preserve">
</t>
    </r>
    <r>
      <rPr>
        <b/>
        <sz val="11"/>
        <color theme="1"/>
        <rFont val="맑은 고딕"/>
        <family val="3"/>
        <charset val="129"/>
        <scheme val="minor"/>
      </rPr>
      <t>[성형과목 :코]</t>
    </r>
    <r>
      <rPr>
        <sz val="11"/>
        <color theme="1"/>
        <rFont val="맑은 고딕"/>
        <family val="2"/>
        <charset val="129"/>
        <scheme val="minor"/>
      </rPr>
      <t xml:space="preserve">
1. 최근 코 관련 트렌드 
- 지난 달과 비슷
- 직반라인, 직선(남자), 매부리, 콧볼축소, 비순각 등 디테일한 키워드 언급 
- </t>
    </r>
    <r>
      <rPr>
        <u/>
        <sz val="11"/>
        <color theme="1"/>
        <rFont val="맑은 고딕"/>
        <family val="3"/>
        <charset val="129"/>
        <scheme val="minor"/>
      </rPr>
      <t xml:space="preserve">비개방 바이럴 지속 </t>
    </r>
    <r>
      <rPr>
        <sz val="11"/>
        <color theme="1"/>
        <rFont val="맑은 고딕"/>
        <family val="2"/>
        <charset val="129"/>
        <scheme val="minor"/>
      </rPr>
      <t xml:space="preserve">
2. 카페 내에서 바이럴 진행 _많이 보이는 병원
코원, 메이드영, 더도어, 땡큐, 루브르, 로그, 나나
</t>
    </r>
    <r>
      <rPr>
        <b/>
        <sz val="11"/>
        <color theme="1"/>
        <rFont val="맑은 고딕"/>
        <family val="3"/>
        <charset val="129"/>
        <scheme val="minor"/>
      </rPr>
      <t xml:space="preserve">[성형과목 : 눈] </t>
    </r>
    <r>
      <rPr>
        <sz val="11"/>
        <color theme="1"/>
        <rFont val="맑은 고딕"/>
        <family val="2"/>
        <charset val="129"/>
        <scheme val="minor"/>
      </rPr>
      <t xml:space="preserve">
1. 최근 눈 관련 트렌드
- 세미아웃, 자연스러운 인아웃, 트임/ 중년눈, 눈밑지, 상안검, 하안검 
2. 카페 내에서 바이럴 진행 시 많이 보이는 병원
디에이, 드레스, 자연주의, 일미리, 팝, 시선, 에픽, 땡큐
</t>
    </r>
    <r>
      <rPr>
        <b/>
        <sz val="11"/>
        <color theme="1"/>
        <rFont val="맑은 고딕"/>
        <family val="3"/>
        <charset val="129"/>
        <scheme val="minor"/>
      </rPr>
      <t>[카페 현황]</t>
    </r>
    <r>
      <rPr>
        <sz val="11"/>
        <color theme="1"/>
        <rFont val="맑은 고딕"/>
        <family val="2"/>
        <charset val="129"/>
        <scheme val="minor"/>
      </rPr>
      <t xml:space="preserve">
* </t>
    </r>
    <r>
      <rPr>
        <u/>
        <sz val="11"/>
        <color theme="1"/>
        <rFont val="맑은 고딕"/>
        <family val="3"/>
        <charset val="129"/>
        <scheme val="minor"/>
      </rPr>
      <t>코 병원</t>
    </r>
    <r>
      <rPr>
        <sz val="11"/>
        <color theme="1"/>
        <rFont val="맑은 고딕"/>
        <family val="2"/>
        <charset val="129"/>
        <scheme val="minor"/>
      </rPr>
      <t xml:space="preserve"> : 올리브, 오앤영, 잇템, 로코코, 유니, 하이봄, 워너비, 위버스, 치유, 지앤지, 에이비, 앤드 등 
* </t>
    </r>
    <r>
      <rPr>
        <u/>
        <sz val="11"/>
        <color theme="1"/>
        <rFont val="맑은 고딕"/>
        <family val="3"/>
        <charset val="129"/>
        <scheme val="minor"/>
      </rPr>
      <t>눈 병원</t>
    </r>
    <r>
      <rPr>
        <sz val="11"/>
        <color theme="1"/>
        <rFont val="맑은 고딕"/>
        <family val="2"/>
        <charset val="129"/>
        <scheme val="minor"/>
      </rPr>
      <t xml:space="preserve"> : 유노, 아몬드, 자연주의, 노상훈, 앤드, 프라이빗, 미소라인, 에니트 등  
* 눈밑지 병원 : 오스킨, 땡큐 등
* 중년눈 병원 : 오브제, 온에어, 젤, 원탑, 본아이, 안병준, 김한성, 아이니크 등 
</t>
    </r>
    <r>
      <rPr>
        <u/>
        <sz val="11"/>
        <color theme="1"/>
        <rFont val="맑은 고딕"/>
        <family val="3"/>
        <charset val="129"/>
        <scheme val="minor"/>
      </rPr>
      <t>최근 눈, 코 바이럴이 증가되어 전체적으로 댓글 수량은 늘어났으나, 
조회수는 떨어지는 카페 특징이 보임</t>
    </r>
    <r>
      <rPr>
        <sz val="11"/>
        <color theme="1"/>
        <rFont val="맑은 고딕"/>
        <family val="2"/>
        <charset val="129"/>
        <scheme val="minor"/>
      </rPr>
      <t xml:space="preserve">
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</si>
</sst>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[Red]\▲#,##0%;[Blue]\▼#,##0%;#,###\-"/>
    <numFmt numFmtId="178" formatCode="[=0]&quot;-&quot;;\ ##,##0"/>
    <numFmt numFmtId="179" formatCode="#,###&quot;건&quot;"/>
    <numFmt numFmtId="180" formatCode="#,###&quot;회&quot;"/>
    <numFmt numFmtId="181" formatCode="#,###&quot;원&quot;"/>
  </numFmts>
  <fonts count="4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4"/>
      <color rgb="FF6DCB6B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b/>
      <sz val="15"/>
      <color rgb="FF6DCB6B"/>
      <name val="맑은 고딕"/>
      <family val="3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0"/>
      <color rgb="FFCCEFFC"/>
      <name val="맑은 고딕"/>
      <family val="3"/>
      <charset val="129"/>
      <scheme val="minor"/>
    </font>
    <font>
      <b/>
      <sz val="14"/>
      <color rgb="FFD47486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rgb="FFC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4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4"/>
      <color theme="3" tint="0.499984740745262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u/>
      <sz val="11"/>
      <color theme="1"/>
      <name val="맑은 고딕"/>
      <family val="3"/>
      <charset val="129"/>
      <scheme val="minor"/>
    </font>
    <font>
      <b/>
      <sz val="15"/>
      <color rgb="FFD47486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6DCB6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F95A3"/>
        <bgColor indexed="64"/>
      </patternFill>
    </fill>
    <fill>
      <patternFill patternType="lightDown">
        <bgColor rgb="FFDF95A3"/>
      </patternFill>
    </fill>
    <fill>
      <patternFill patternType="lightUp">
        <bgColor rgb="FFDF95A3"/>
      </patternFill>
    </fill>
    <fill>
      <patternFill patternType="solid">
        <fgColor rgb="FFC00000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/>
      </right>
      <top/>
      <bottom style="thin">
        <color rgb="FF6DCB6B"/>
      </bottom>
      <diagonal/>
    </border>
    <border>
      <left style="medium">
        <color theme="0"/>
      </left>
      <right style="medium">
        <color theme="0"/>
      </right>
      <top/>
      <bottom style="thin">
        <color rgb="FF6DCB6B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dotted">
        <color auto="1"/>
      </top>
      <bottom style="double">
        <color theme="1"/>
      </bottom>
      <diagonal/>
    </border>
    <border>
      <left/>
      <right/>
      <top/>
      <bottom style="dotted">
        <color theme="0"/>
      </bottom>
      <diagonal/>
    </border>
    <border>
      <left/>
      <right/>
      <top style="dotted">
        <color theme="0"/>
      </top>
      <bottom style="dotted">
        <color theme="0"/>
      </bottom>
      <diagonal/>
    </border>
    <border>
      <left/>
      <right/>
      <top style="dotted">
        <color theme="1"/>
      </top>
      <bottom style="double">
        <color theme="1"/>
      </bottom>
      <diagonal/>
    </border>
    <border>
      <left/>
      <right/>
      <top style="double">
        <color theme="0" tint="-0.499984740745262"/>
      </top>
      <bottom style="double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/>
      </right>
      <top/>
      <bottom style="thin">
        <color rgb="FFD47486"/>
      </bottom>
      <diagonal/>
    </border>
    <border>
      <left style="medium">
        <color theme="0"/>
      </left>
      <right/>
      <top/>
      <bottom style="thin">
        <color rgb="FFD47486"/>
      </bottom>
      <diagonal/>
    </border>
    <border>
      <left style="medium">
        <color theme="0"/>
      </left>
      <right style="medium">
        <color theme="0"/>
      </right>
      <top/>
      <bottom style="thin">
        <color rgb="FFD47486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tted">
        <color auto="1"/>
      </top>
      <bottom style="double">
        <color auto="1"/>
      </bottom>
      <diagonal/>
    </border>
    <border>
      <left/>
      <right/>
      <top style="double">
        <color theme="0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</borders>
  <cellStyleXfs count="7">
    <xf numFmtId="0" fontId="0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30" fillId="0" borderId="0"/>
    <xf numFmtId="41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42" fontId="30" fillId="0" borderId="0" applyFont="0" applyFill="0" applyBorder="0" applyAlignment="0" applyProtection="0">
      <alignment vertical="center"/>
    </xf>
  </cellStyleXfs>
  <cellXfs count="1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11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14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0" borderId="0" xfId="0" applyFont="1" applyAlignment="1"/>
    <xf numFmtId="0" fontId="9" fillId="3" borderId="16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7" fillId="0" borderId="23" xfId="0" applyFont="1" applyBorder="1">
      <alignment vertical="center"/>
    </xf>
    <xf numFmtId="176" fontId="4" fillId="0" borderId="20" xfId="0" applyNumberFormat="1" applyFont="1" applyBorder="1" applyAlignment="1">
      <alignment horizontal="center" vertical="center"/>
    </xf>
    <xf numFmtId="0" fontId="13" fillId="0" borderId="0" xfId="0" applyFont="1" applyAlignment="1"/>
    <xf numFmtId="0" fontId="6" fillId="0" borderId="0" xfId="0" applyFont="1" applyAlignment="1"/>
    <xf numFmtId="0" fontId="19" fillId="0" borderId="0" xfId="0" applyFont="1" applyAlignment="1">
      <alignment horizontal="center" vertical="center"/>
    </xf>
    <xf numFmtId="176" fontId="7" fillId="0" borderId="24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13" fillId="0" borderId="6" xfId="0" applyFont="1" applyBorder="1" applyAlignment="1"/>
    <xf numFmtId="0" fontId="0" fillId="0" borderId="6" xfId="0" applyBorder="1">
      <alignment vertical="center"/>
    </xf>
    <xf numFmtId="0" fontId="6" fillId="0" borderId="13" xfId="0" applyFont="1" applyBorder="1">
      <alignment vertical="center"/>
    </xf>
    <xf numFmtId="0" fontId="23" fillId="0" borderId="0" xfId="0" applyFont="1">
      <alignment vertical="center"/>
    </xf>
    <xf numFmtId="0" fontId="6" fillId="0" borderId="25" xfId="0" applyFont="1" applyBorder="1">
      <alignment vertical="center"/>
    </xf>
    <xf numFmtId="0" fontId="2" fillId="0" borderId="0" xfId="0" applyFont="1">
      <alignment vertical="center"/>
    </xf>
    <xf numFmtId="178" fontId="10" fillId="2" borderId="0" xfId="0" applyNumberFormat="1" applyFont="1" applyFill="1" applyAlignment="1">
      <alignment horizontal="center" vertical="center"/>
    </xf>
    <xf numFmtId="178" fontId="11" fillId="2" borderId="0" xfId="0" applyNumberFormat="1" applyFont="1" applyFill="1" applyAlignment="1">
      <alignment horizontal="center" vertical="center"/>
    </xf>
    <xf numFmtId="178" fontId="10" fillId="2" borderId="2" xfId="0" applyNumberFormat="1" applyFont="1" applyFill="1" applyBorder="1" applyAlignment="1">
      <alignment horizontal="center" vertical="center"/>
    </xf>
    <xf numFmtId="178" fontId="11" fillId="2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3" fillId="6" borderId="21" xfId="0" applyFont="1" applyFill="1" applyBorder="1">
      <alignment vertical="center"/>
    </xf>
    <xf numFmtId="0" fontId="3" fillId="6" borderId="22" xfId="0" applyFont="1" applyFill="1" applyBorder="1">
      <alignment vertical="center"/>
    </xf>
    <xf numFmtId="0" fontId="12" fillId="8" borderId="10" xfId="0" applyFont="1" applyFill="1" applyBorder="1">
      <alignment vertical="center"/>
    </xf>
    <xf numFmtId="0" fontId="12" fillId="9" borderId="10" xfId="0" applyFont="1" applyFill="1" applyBorder="1">
      <alignment vertical="center"/>
    </xf>
    <xf numFmtId="0" fontId="9" fillId="7" borderId="16" xfId="0" applyFont="1" applyFill="1" applyBorder="1" applyAlignment="1">
      <alignment horizontal="center" vertical="center"/>
    </xf>
    <xf numFmtId="178" fontId="2" fillId="0" borderId="17" xfId="0" applyNumberFormat="1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18" xfId="0" applyNumberFormat="1" applyFont="1" applyBorder="1" applyAlignment="1">
      <alignment horizontal="center" vertical="center"/>
    </xf>
    <xf numFmtId="178" fontId="2" fillId="0" borderId="18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27" fillId="0" borderId="18" xfId="1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12" fillId="10" borderId="35" xfId="0" applyFont="1" applyFill="1" applyBorder="1" applyAlignment="1">
      <alignment horizontal="center" vertical="center"/>
    </xf>
    <xf numFmtId="181" fontId="3" fillId="0" borderId="18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10" fontId="3" fillId="0" borderId="18" xfId="2" applyNumberFormat="1" applyFont="1" applyBorder="1" applyAlignment="1">
      <alignment horizontal="center" vertical="center"/>
    </xf>
    <xf numFmtId="10" fontId="3" fillId="0" borderId="19" xfId="2" applyNumberFormat="1" applyFont="1" applyBorder="1" applyAlignment="1">
      <alignment horizontal="center" vertical="center"/>
    </xf>
    <xf numFmtId="180" fontId="3" fillId="0" borderId="18" xfId="0" applyNumberFormat="1" applyFont="1" applyBorder="1" applyAlignment="1">
      <alignment horizontal="center" vertical="center"/>
    </xf>
    <xf numFmtId="180" fontId="3" fillId="0" borderId="19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180" fontId="12" fillId="10" borderId="33" xfId="0" applyNumberFormat="1" applyFont="1" applyFill="1" applyBorder="1" applyAlignment="1">
      <alignment horizontal="center" vertical="center"/>
    </xf>
    <xf numFmtId="181" fontId="12" fillId="10" borderId="33" xfId="0" applyNumberFormat="1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176" fontId="35" fillId="0" borderId="0" xfId="0" applyNumberFormat="1" applyFont="1" applyAlignment="1">
      <alignment horizontal="center" vertical="center" wrapText="1"/>
    </xf>
    <xf numFmtId="0" fontId="35" fillId="0" borderId="6" xfId="0" applyFont="1" applyBorder="1" applyAlignment="1">
      <alignment vertical="center" wrapText="1"/>
    </xf>
    <xf numFmtId="0" fontId="36" fillId="0" borderId="18" xfId="1" applyFont="1" applyBorder="1" applyAlignment="1">
      <alignment horizontal="center" vertical="center"/>
    </xf>
    <xf numFmtId="0" fontId="36" fillId="0" borderId="17" xfId="1" applyFont="1" applyBorder="1" applyAlignment="1">
      <alignment horizontal="center" vertical="center"/>
    </xf>
    <xf numFmtId="178" fontId="3" fillId="0" borderId="18" xfId="0" quotePrefix="1" applyNumberFormat="1" applyFont="1" applyBorder="1" applyAlignment="1">
      <alignment horizontal="center" vertical="center"/>
    </xf>
    <xf numFmtId="178" fontId="0" fillId="0" borderId="0" xfId="0" applyNumberFormat="1">
      <alignment vertical="center"/>
    </xf>
    <xf numFmtId="176" fontId="3" fillId="0" borderId="18" xfId="0" applyNumberFormat="1" applyFont="1" applyBorder="1" applyAlignment="1">
      <alignment horizontal="center" vertical="center"/>
    </xf>
    <xf numFmtId="0" fontId="3" fillId="0" borderId="44" xfId="0" applyFont="1" applyBorder="1">
      <alignment vertical="center"/>
    </xf>
    <xf numFmtId="0" fontId="39" fillId="0" borderId="0" xfId="0" applyFont="1" applyAlignment="1">
      <alignment horizontal="center" vertical="center" wrapText="1"/>
    </xf>
    <xf numFmtId="0" fontId="40" fillId="0" borderId="18" xfId="0" applyFont="1" applyBorder="1" applyAlignment="1">
      <alignment horizontal="center" vertical="center"/>
    </xf>
    <xf numFmtId="0" fontId="41" fillId="0" borderId="17" xfId="1" applyFont="1" applyBorder="1" applyAlignment="1">
      <alignment horizontal="center" vertical="center"/>
    </xf>
    <xf numFmtId="0" fontId="41" fillId="0" borderId="18" xfId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2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10" xfId="0" applyFont="1" applyBorder="1" applyAlignment="1">
      <alignment horizontal="left" vertical="center" indent="1"/>
    </xf>
    <xf numFmtId="0" fontId="6" fillId="0" borderId="0" xfId="0" applyFont="1" applyAlignment="1">
      <alignment horizontal="left"/>
    </xf>
    <xf numFmtId="0" fontId="6" fillId="0" borderId="3" xfId="0" applyFont="1" applyBorder="1" applyAlignment="1">
      <alignment horizontal="left"/>
    </xf>
    <xf numFmtId="179" fontId="16" fillId="0" borderId="11" xfId="0" applyNumberFormat="1" applyFont="1" applyBorder="1" applyAlignment="1">
      <alignment horizontal="center" vertical="center"/>
    </xf>
    <xf numFmtId="179" fontId="16" fillId="0" borderId="15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3" fillId="0" borderId="3" xfId="0" applyFont="1" applyBorder="1" applyAlignment="1">
      <alignment horizontal="right"/>
    </xf>
    <xf numFmtId="0" fontId="7" fillId="5" borderId="1" xfId="0" applyFont="1" applyFill="1" applyBorder="1" applyAlignment="1">
      <alignment horizontal="center" vertical="center"/>
    </xf>
    <xf numFmtId="177" fontId="5" fillId="0" borderId="2" xfId="0" applyNumberFormat="1" applyFont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2" fillId="4" borderId="12" xfId="0" applyFont="1" applyFill="1" applyBorder="1" applyAlignment="1">
      <alignment horizontal="left" vertical="center"/>
    </xf>
    <xf numFmtId="180" fontId="16" fillId="0" borderId="11" xfId="0" applyNumberFormat="1" applyFont="1" applyBorder="1" applyAlignment="1">
      <alignment horizontal="center" vertical="center"/>
    </xf>
    <xf numFmtId="180" fontId="16" fillId="0" borderId="15" xfId="0" applyNumberFormat="1" applyFont="1" applyBorder="1" applyAlignment="1">
      <alignment horizontal="center" vertical="center"/>
    </xf>
    <xf numFmtId="0" fontId="24" fillId="4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80" fontId="16" fillId="0" borderId="12" xfId="0" applyNumberFormat="1" applyFont="1" applyBorder="1" applyAlignment="1">
      <alignment horizontal="center" vertical="center"/>
    </xf>
    <xf numFmtId="180" fontId="16" fillId="0" borderId="10" xfId="0" applyNumberFormat="1" applyFont="1" applyBorder="1" applyAlignment="1">
      <alignment horizontal="center" vertical="center"/>
    </xf>
    <xf numFmtId="180" fontId="16" fillId="0" borderId="27" xfId="0" applyNumberFormat="1" applyFont="1" applyBorder="1" applyAlignment="1">
      <alignment horizontal="center" vertical="center"/>
    </xf>
    <xf numFmtId="180" fontId="16" fillId="0" borderId="26" xfId="0" applyNumberFormat="1" applyFont="1" applyBorder="1" applyAlignment="1">
      <alignment horizontal="center" vertical="center"/>
    </xf>
    <xf numFmtId="179" fontId="16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12" fillId="7" borderId="12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179" fontId="16" fillId="0" borderId="12" xfId="0" applyNumberFormat="1" applyFont="1" applyBorder="1" applyAlignment="1">
      <alignment horizontal="center" vertical="center"/>
    </xf>
    <xf numFmtId="179" fontId="16" fillId="0" borderId="10" xfId="0" applyNumberFormat="1" applyFont="1" applyBorder="1" applyAlignment="1">
      <alignment horizontal="center" vertical="center"/>
    </xf>
    <xf numFmtId="179" fontId="16" fillId="0" borderId="27" xfId="0" applyNumberFormat="1" applyFont="1" applyBorder="1" applyAlignment="1">
      <alignment horizontal="center" vertical="center"/>
    </xf>
    <xf numFmtId="179" fontId="16" fillId="0" borderId="26" xfId="0" applyNumberFormat="1" applyFont="1" applyBorder="1" applyAlignment="1">
      <alignment horizontal="center" vertical="center"/>
    </xf>
    <xf numFmtId="177" fontId="5" fillId="0" borderId="31" xfId="0" applyNumberFormat="1" applyFont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177" fontId="5" fillId="0" borderId="32" xfId="0" applyNumberFormat="1" applyFont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35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0" xfId="0" applyFont="1" applyAlignment="1">
      <alignment horizontal="left"/>
    </xf>
    <xf numFmtId="0" fontId="0" fillId="0" borderId="39" xfId="0" applyBorder="1" applyAlignment="1">
      <alignment horizontal="left" vertical="top" wrapText="1" indent="2"/>
    </xf>
    <xf numFmtId="0" fontId="0" fillId="0" borderId="0" xfId="0" applyAlignment="1">
      <alignment horizontal="left" vertical="top" indent="2"/>
    </xf>
    <xf numFmtId="0" fontId="0" fillId="0" borderId="40" xfId="0" applyBorder="1" applyAlignment="1">
      <alignment horizontal="left" vertical="top" indent="2"/>
    </xf>
    <xf numFmtId="0" fontId="0" fillId="0" borderId="39" xfId="0" applyBorder="1" applyAlignment="1">
      <alignment horizontal="left" vertical="top" indent="2"/>
    </xf>
    <xf numFmtId="0" fontId="0" fillId="0" borderId="41" xfId="0" applyBorder="1" applyAlignment="1">
      <alignment horizontal="left" vertical="top" indent="2"/>
    </xf>
    <xf numFmtId="0" fontId="0" fillId="0" borderId="42" xfId="0" applyBorder="1" applyAlignment="1">
      <alignment horizontal="left" vertical="top" indent="2"/>
    </xf>
    <xf numFmtId="0" fontId="0" fillId="0" borderId="43" xfId="0" applyBorder="1" applyAlignment="1">
      <alignment horizontal="left" vertical="top" indent="2"/>
    </xf>
    <xf numFmtId="0" fontId="40" fillId="0" borderId="18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49" fontId="42" fillId="0" borderId="18" xfId="0" applyNumberFormat="1" applyFont="1" applyBorder="1" applyAlignment="1">
      <alignment horizontal="center" vertical="center"/>
    </xf>
    <xf numFmtId="0" fontId="39" fillId="0" borderId="0" xfId="0" applyFont="1" applyFill="1" applyAlignment="1">
      <alignment horizontal="center" vertical="center" wrapText="1"/>
    </xf>
  </cellXfs>
  <cellStyles count="7">
    <cellStyle name="백분율" xfId="2" builtinId="5"/>
    <cellStyle name="백분율 2" xfId="5" xr:uid="{1C9C38C4-1EEA-4840-9191-BDAF764D4484}"/>
    <cellStyle name="쉼표 [0] 2" xfId="4" xr:uid="{DD434388-4E74-4E97-A02C-053B06D8613F}"/>
    <cellStyle name="통화 [0] 2" xfId="6" xr:uid="{C3304C1B-0311-4D4D-A8A8-5B11D7D4C25C}"/>
    <cellStyle name="표준" xfId="0" builtinId="0"/>
    <cellStyle name="표준 2" xfId="3" xr:uid="{233DA997-503E-4AC0-9C78-F107E5B9E258}"/>
    <cellStyle name="하이퍼링크" xfId="1" builtinId="8"/>
  </cellStyles>
  <dxfs count="1">
    <dxf>
      <font>
        <color rgb="FFFF0000"/>
      </font>
    </dxf>
  </dxfs>
  <tableStyles count="0" defaultTableStyle="TableStyleMedium2" defaultPivotStyle="PivotStyleLight16"/>
  <colors>
    <mruColors>
      <color rgb="FFDF95A3"/>
      <color rgb="FF6DCB6B"/>
      <color rgb="FFDBF4FD"/>
      <color rgb="FFEA0000"/>
      <color rgb="FFF8E8EB"/>
      <color rgb="FFCCEFFC"/>
      <color rgb="FFECF9E7"/>
      <color rgb="FFD47486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69569047485878"/>
          <c:y val="8.0693575012952601E-2"/>
          <c:w val="0.84738357705286838"/>
          <c:h val="0.80180152060937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▶네이버_Main!$A$20</c:f>
              <c:strCache>
                <c:ptCount val="1"/>
                <c:pt idx="0">
                  <c:v>조회수</c:v>
                </c:pt>
              </c:strCache>
            </c:strRef>
          </c:tx>
          <c:spPr>
            <a:solidFill>
              <a:srgbClr val="6DCB6B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860-450C-911E-CDBE4188A72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8F7-4AE4-B051-93C518223ADF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F7-4AE4-B051-93C518223ADF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8F7-4AE4-B051-93C518223ADF}"/>
              </c:ext>
            </c:extLst>
          </c:dPt>
          <c:dPt>
            <c:idx val="4"/>
            <c:invertIfNegative val="0"/>
            <c:bubble3D val="0"/>
            <c:spPr>
              <a:solidFill>
                <a:srgbClr val="6DCB6B"/>
              </a:solidFill>
              <a:ln>
                <a:solidFill>
                  <a:srgbClr val="6DCB6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F7-4AE4-B051-93C518223ADF}"/>
              </c:ext>
            </c:extLst>
          </c:dPt>
          <c:dPt>
            <c:idx val="5"/>
            <c:invertIfNegative val="0"/>
            <c:bubble3D val="0"/>
            <c:spPr>
              <a:solidFill>
                <a:srgbClr val="6DCB6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BEA-419D-BEB6-F5960B6F72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▶네이버_Main!$B$19:$G$19</c:f>
              <c:strCache>
                <c:ptCount val="6"/>
                <c:pt idx="0">
                  <c:v>9월</c:v>
                </c:pt>
                <c:pt idx="1">
                  <c:v>10월</c:v>
                </c:pt>
                <c:pt idx="2">
                  <c:v>11월</c:v>
                </c:pt>
                <c:pt idx="3">
                  <c:v>12월</c:v>
                </c:pt>
                <c:pt idx="4">
                  <c:v>1월</c:v>
                </c:pt>
                <c:pt idx="5">
                  <c:v>2월</c:v>
                </c:pt>
              </c:strCache>
            </c:strRef>
          </c:cat>
          <c:val>
            <c:numRef>
              <c:f>▶네이버_Main!$B$20:$G$20</c:f>
              <c:numCache>
                <c:formatCode>[=0]"-";\ ##,##0</c:formatCode>
                <c:ptCount val="6"/>
                <c:pt idx="0">
                  <c:v>0</c:v>
                </c:pt>
                <c:pt idx="1">
                  <c:v>1059</c:v>
                </c:pt>
                <c:pt idx="2">
                  <c:v>1437</c:v>
                </c:pt>
                <c:pt idx="3">
                  <c:v>2648</c:v>
                </c:pt>
                <c:pt idx="4">
                  <c:v>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7-4AE4-B051-93C518223A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8336016"/>
        <c:axId val="1128336976"/>
      </c:barChart>
      <c:catAx>
        <c:axId val="112833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8336976"/>
        <c:crosses val="autoZero"/>
        <c:auto val="1"/>
        <c:lblAlgn val="ctr"/>
        <c:lblOffset val="100"/>
        <c:noMultiLvlLbl val="0"/>
      </c:catAx>
      <c:valAx>
        <c:axId val="112833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0000"/>
                  <a:lumOff val="90000"/>
                </a:schemeClr>
              </a:solidFill>
              <a:round/>
            </a:ln>
            <a:effectLst/>
          </c:spPr>
        </c:majorGridlines>
        <c:numFmt formatCode="[=0]&quot;-&quot;;\ #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11283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69569047485878"/>
          <c:y val="8.0693575012952601E-2"/>
          <c:w val="0.84738357705286838"/>
          <c:h val="0.80180152060937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▶네이버_Main!$A$22</c:f>
              <c:strCache>
                <c:ptCount val="1"/>
                <c:pt idx="0">
                  <c:v>쪽지발송</c:v>
                </c:pt>
              </c:strCache>
            </c:strRef>
          </c:tx>
          <c:spPr>
            <a:solidFill>
              <a:srgbClr val="6DCB6B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8D7-490E-A4C4-45440E2050D1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D7-490E-A4C4-45440E2050D1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0B3-4D49-AC53-DAF1C6481F1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6CD-4E3B-AFF6-BBF9F1062E0D}"/>
              </c:ext>
            </c:extLst>
          </c:dPt>
          <c:dPt>
            <c:idx val="4"/>
            <c:invertIfNegative val="0"/>
            <c:bubble3D val="0"/>
            <c:spPr>
              <a:solidFill>
                <a:srgbClr val="6DCB6B"/>
              </a:solidFill>
              <a:ln>
                <a:solidFill>
                  <a:srgbClr val="6DCB6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9A5-40C9-A098-0B5DA517571C}"/>
              </c:ext>
            </c:extLst>
          </c:dPt>
          <c:dPt>
            <c:idx val="5"/>
            <c:invertIfNegative val="0"/>
            <c:bubble3D val="0"/>
            <c:spPr>
              <a:solidFill>
                <a:srgbClr val="6DCB6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C9-44B8-8120-5B8C18455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▶네이버_Main!$B$19:$G$19</c:f>
              <c:strCache>
                <c:ptCount val="6"/>
                <c:pt idx="0">
                  <c:v>9월</c:v>
                </c:pt>
                <c:pt idx="1">
                  <c:v>10월</c:v>
                </c:pt>
                <c:pt idx="2">
                  <c:v>11월</c:v>
                </c:pt>
                <c:pt idx="3">
                  <c:v>12월</c:v>
                </c:pt>
                <c:pt idx="4">
                  <c:v>1월</c:v>
                </c:pt>
                <c:pt idx="5">
                  <c:v>2월</c:v>
                </c:pt>
              </c:strCache>
            </c:strRef>
          </c:cat>
          <c:val>
            <c:numRef>
              <c:f>▶네이버_Main!$B$22:$G$22</c:f>
              <c:numCache>
                <c:formatCode>[=0]"-";\ ##,##0</c:formatCode>
                <c:ptCount val="6"/>
                <c:pt idx="0">
                  <c:v>28</c:v>
                </c:pt>
                <c:pt idx="1">
                  <c:v>7</c:v>
                </c:pt>
                <c:pt idx="2">
                  <c:v>43</c:v>
                </c:pt>
                <c:pt idx="3">
                  <c:v>43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7-4AE4-B051-93C518223A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8336016"/>
        <c:axId val="1128336976"/>
      </c:barChart>
      <c:catAx>
        <c:axId val="112833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8336976"/>
        <c:crosses val="autoZero"/>
        <c:auto val="1"/>
        <c:lblAlgn val="ctr"/>
        <c:lblOffset val="100"/>
        <c:noMultiLvlLbl val="0"/>
      </c:catAx>
      <c:valAx>
        <c:axId val="112833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BF4FD"/>
              </a:solidFill>
              <a:round/>
            </a:ln>
            <a:effectLst/>
          </c:spPr>
        </c:majorGridlines>
        <c:numFmt formatCode="[=0]&quot;-&quot;;\ #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11283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69569047485878"/>
          <c:y val="8.0693575012952601E-2"/>
          <c:w val="0.84738357705286838"/>
          <c:h val="0.80180152060937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▶성예사_Main!$A$20</c:f>
              <c:strCache>
                <c:ptCount val="1"/>
                <c:pt idx="0">
                  <c:v>조회수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8E9-44B5-BA9F-58F24463627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6F-4575-8C80-296BFAEBCEEA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6F-4575-8C80-296BFAEBCEEA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6F-4575-8C80-296BFAEBCEEA}"/>
              </c:ext>
            </c:extLst>
          </c:dPt>
          <c:dPt>
            <c:idx val="4"/>
            <c:invertIfNegative val="0"/>
            <c:bubble3D val="0"/>
            <c:spPr>
              <a:solidFill>
                <a:srgbClr val="DF95A3"/>
              </a:solidFill>
              <a:ln>
                <a:solidFill>
                  <a:srgbClr val="DF95A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6F-4575-8C80-296BFAEBCEEA}"/>
              </c:ext>
            </c:extLst>
          </c:dPt>
          <c:dPt>
            <c:idx val="5"/>
            <c:invertIfNegative val="0"/>
            <c:bubble3D val="0"/>
            <c:spPr>
              <a:solidFill>
                <a:srgbClr val="DF95A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F6F-4575-8C80-296BFAEBCE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▶성예사_Main!$C$19:$G$19</c:f>
              <c:strCache>
                <c:ptCount val="5"/>
                <c:pt idx="0">
                  <c:v>10월</c:v>
                </c:pt>
                <c:pt idx="1">
                  <c:v>11월</c:v>
                </c:pt>
                <c:pt idx="2">
                  <c:v>12월</c:v>
                </c:pt>
                <c:pt idx="3">
                  <c:v>1월</c:v>
                </c:pt>
                <c:pt idx="4">
                  <c:v>2월</c:v>
                </c:pt>
              </c:strCache>
            </c:strRef>
          </c:cat>
          <c:val>
            <c:numRef>
              <c:f>▶성예사_Main!$B$20:$G$20</c:f>
              <c:numCache>
                <c:formatCode>[=0]"-";\ ##,##0</c:formatCode>
                <c:ptCount val="6"/>
                <c:pt idx="0">
                  <c:v>10088</c:v>
                </c:pt>
                <c:pt idx="1">
                  <c:v>0</c:v>
                </c:pt>
                <c:pt idx="2">
                  <c:v>5546</c:v>
                </c:pt>
                <c:pt idx="3">
                  <c:v>5469</c:v>
                </c:pt>
                <c:pt idx="4">
                  <c:v>11870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6F-4575-8C80-296BFAEBC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8336016"/>
        <c:axId val="1128336976"/>
      </c:barChart>
      <c:catAx>
        <c:axId val="112833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8336976"/>
        <c:crosses val="autoZero"/>
        <c:auto val="1"/>
        <c:lblAlgn val="ctr"/>
        <c:lblOffset val="100"/>
        <c:noMultiLvlLbl val="0"/>
      </c:catAx>
      <c:valAx>
        <c:axId val="112833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0000"/>
                  <a:lumOff val="90000"/>
                </a:schemeClr>
              </a:solidFill>
              <a:round/>
            </a:ln>
            <a:effectLst/>
          </c:spPr>
        </c:majorGridlines>
        <c:numFmt formatCode="[=0]&quot;-&quot;;\ #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11283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69569047485878"/>
          <c:y val="8.0693575012952601E-2"/>
          <c:w val="0.84738357705286838"/>
          <c:h val="0.80180152060937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▶성예사_Main!$A$21</c:f>
              <c:strCache>
                <c:ptCount val="1"/>
                <c:pt idx="0">
                  <c:v>댓글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55-4A97-B773-3F646EEE2C74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0EE-46D4-A000-573C384C24D6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BCA-4256-9493-8185A4682FB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705-46BF-93FD-FAD129CF66C8}"/>
              </c:ext>
            </c:extLst>
          </c:dPt>
          <c:dPt>
            <c:idx val="4"/>
            <c:invertIfNegative val="0"/>
            <c:bubble3D val="0"/>
            <c:spPr>
              <a:solidFill>
                <a:srgbClr val="DF95A3"/>
              </a:solidFill>
              <a:ln>
                <a:solidFill>
                  <a:srgbClr val="DF95A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FA4-4CEA-905F-CCF9994365D0}"/>
              </c:ext>
            </c:extLst>
          </c:dPt>
          <c:dPt>
            <c:idx val="5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48-447C-A8F3-F2C40E04F1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▶성예사_Main!$B$19:$G$19</c:f>
              <c:strCache>
                <c:ptCount val="6"/>
                <c:pt idx="0">
                  <c:v>9월</c:v>
                </c:pt>
                <c:pt idx="1">
                  <c:v>10월</c:v>
                </c:pt>
                <c:pt idx="2">
                  <c:v>11월</c:v>
                </c:pt>
                <c:pt idx="3">
                  <c:v>12월</c:v>
                </c:pt>
                <c:pt idx="4">
                  <c:v>1월</c:v>
                </c:pt>
                <c:pt idx="5">
                  <c:v>2월</c:v>
                </c:pt>
              </c:strCache>
            </c:strRef>
          </c:cat>
          <c:val>
            <c:numRef>
              <c:f>▶성예사_Main!$B$21:$G$21</c:f>
              <c:numCache>
                <c:formatCode>[=0]"-";\ ##,##0</c:formatCode>
                <c:ptCount val="6"/>
                <c:pt idx="0">
                  <c:v>94</c:v>
                </c:pt>
                <c:pt idx="1">
                  <c:v>0</c:v>
                </c:pt>
                <c:pt idx="2">
                  <c:v>48</c:v>
                </c:pt>
                <c:pt idx="3">
                  <c:v>45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48-447C-A8F3-F2C40E04F1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8336016"/>
        <c:axId val="1128336976"/>
      </c:barChart>
      <c:catAx>
        <c:axId val="112833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8336976"/>
        <c:crosses val="autoZero"/>
        <c:auto val="1"/>
        <c:lblAlgn val="ctr"/>
        <c:lblOffset val="100"/>
        <c:noMultiLvlLbl val="0"/>
      </c:catAx>
      <c:valAx>
        <c:axId val="112833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BF4FD"/>
              </a:solidFill>
              <a:round/>
            </a:ln>
            <a:effectLst/>
          </c:spPr>
        </c:majorGridlines>
        <c:numFmt formatCode="[=0]&quot;-&quot;;\ #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11283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30</xdr:row>
      <xdr:rowOff>19050</xdr:rowOff>
    </xdr:from>
    <xdr:to>
      <xdr:col>7</xdr:col>
      <xdr:colOff>638175</xdr:colOff>
      <xdr:row>36</xdr:row>
      <xdr:rowOff>171448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9FFA600E-B510-11CC-3116-798B2307FD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430080</xdr:colOff>
      <xdr:row>35</xdr:row>
      <xdr:rowOff>148318</xdr:rowOff>
    </xdr:from>
    <xdr:to>
      <xdr:col>1</xdr:col>
      <xdr:colOff>769340</xdr:colOff>
      <xdr:row>36</xdr:row>
      <xdr:rowOff>208457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6A74D12-3710-9316-DA6B-D8FC937AA6B2}"/>
            </a:ext>
          </a:extLst>
        </xdr:cNvPr>
        <xdr:cNvSpPr txBox="1"/>
      </xdr:nvSpPr>
      <xdr:spPr>
        <a:xfrm>
          <a:off x="1086977" y="7899697"/>
          <a:ext cx="339260" cy="270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9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2</xdr:col>
      <xdr:colOff>477188</xdr:colOff>
      <xdr:row>35</xdr:row>
      <xdr:rowOff>164647</xdr:rowOff>
    </xdr:from>
    <xdr:to>
      <xdr:col>2</xdr:col>
      <xdr:colOff>817433</xdr:colOff>
      <xdr:row>37</xdr:row>
      <xdr:rowOff>12515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FCA04CC-104F-D572-56DC-7F412EC0F7BA}"/>
            </a:ext>
          </a:extLst>
        </xdr:cNvPr>
        <xdr:cNvSpPr txBox="1"/>
      </xdr:nvSpPr>
      <xdr:spPr>
        <a:xfrm>
          <a:off x="2022959" y="7958818"/>
          <a:ext cx="340245" cy="272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10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3</xdr:col>
      <xdr:colOff>519981</xdr:colOff>
      <xdr:row>35</xdr:row>
      <xdr:rowOff>164647</xdr:rowOff>
    </xdr:from>
    <xdr:to>
      <xdr:col>3</xdr:col>
      <xdr:colOff>859241</xdr:colOff>
      <xdr:row>37</xdr:row>
      <xdr:rowOff>12515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EFC5CFA-D664-A423-BA50-1B6B87EEF1A9}"/>
            </a:ext>
          </a:extLst>
        </xdr:cNvPr>
        <xdr:cNvSpPr txBox="1"/>
      </xdr:nvSpPr>
      <xdr:spPr>
        <a:xfrm>
          <a:off x="2952938" y="7958818"/>
          <a:ext cx="339260" cy="272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4</xdr:col>
      <xdr:colOff>569481</xdr:colOff>
      <xdr:row>35</xdr:row>
      <xdr:rowOff>164647</xdr:rowOff>
    </xdr:from>
    <xdr:to>
      <xdr:col>5</xdr:col>
      <xdr:colOff>21931</xdr:colOff>
      <xdr:row>37</xdr:row>
      <xdr:rowOff>12515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2DCAAA7-C705-3031-DE30-F635D91AB161}"/>
            </a:ext>
          </a:extLst>
        </xdr:cNvPr>
        <xdr:cNvSpPr txBox="1"/>
      </xdr:nvSpPr>
      <xdr:spPr>
        <a:xfrm>
          <a:off x="3889624" y="7958818"/>
          <a:ext cx="339636" cy="272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6</xdr:col>
      <xdr:colOff>655300</xdr:colOff>
      <xdr:row>35</xdr:row>
      <xdr:rowOff>164647</xdr:rowOff>
    </xdr:from>
    <xdr:to>
      <xdr:col>7</xdr:col>
      <xdr:colOff>108735</xdr:colOff>
      <xdr:row>37</xdr:row>
      <xdr:rowOff>12515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7CC75124-D623-713D-9888-225F497FDC16}"/>
            </a:ext>
          </a:extLst>
        </xdr:cNvPr>
        <xdr:cNvSpPr txBox="1"/>
      </xdr:nvSpPr>
      <xdr:spPr>
        <a:xfrm>
          <a:off x="5760700" y="7958818"/>
          <a:ext cx="340621" cy="272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0</xdr:col>
      <xdr:colOff>9525</xdr:colOff>
      <xdr:row>38</xdr:row>
      <xdr:rowOff>7327</xdr:rowOff>
    </xdr:from>
    <xdr:to>
      <xdr:col>7</xdr:col>
      <xdr:colOff>638175</xdr:colOff>
      <xdr:row>44</xdr:row>
      <xdr:rowOff>162655</xdr:rowOff>
    </xdr:to>
    <xdr:graphicFrame macro="">
      <xdr:nvGraphicFramePr>
        <xdr:cNvPr id="21" name="차트 20">
          <a:extLst>
            <a:ext uri="{FF2B5EF4-FFF2-40B4-BE49-F238E27FC236}">
              <a16:creationId xmlns:a16="http://schemas.microsoft.com/office/drawing/2014/main" id="{25B8B289-C290-0042-A9CB-8E53D1506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615464</xdr:colOff>
      <xdr:row>35</xdr:row>
      <xdr:rowOff>164647</xdr:rowOff>
    </xdr:from>
    <xdr:to>
      <xdr:col>6</xdr:col>
      <xdr:colOff>61345</xdr:colOff>
      <xdr:row>37</xdr:row>
      <xdr:rowOff>12515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CFB795-D812-2E1C-AA2A-7AEEBC1EF925}"/>
            </a:ext>
          </a:extLst>
        </xdr:cNvPr>
        <xdr:cNvSpPr txBox="1"/>
      </xdr:nvSpPr>
      <xdr:spPr>
        <a:xfrm>
          <a:off x="4822793" y="7958818"/>
          <a:ext cx="343952" cy="272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1</xdr:col>
      <xdr:colOff>430080</xdr:colOff>
      <xdr:row>43</xdr:row>
      <xdr:rowOff>140035</xdr:rowOff>
    </xdr:from>
    <xdr:to>
      <xdr:col>1</xdr:col>
      <xdr:colOff>769340</xdr:colOff>
      <xdr:row>44</xdr:row>
      <xdr:rowOff>200174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3CBC79A-DB0E-0247-2FF4-CB6396B6970F}"/>
            </a:ext>
          </a:extLst>
        </xdr:cNvPr>
        <xdr:cNvSpPr txBox="1"/>
      </xdr:nvSpPr>
      <xdr:spPr>
        <a:xfrm>
          <a:off x="1084406" y="9482818"/>
          <a:ext cx="339260" cy="2672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9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2</xdr:col>
      <xdr:colOff>477188</xdr:colOff>
      <xdr:row>43</xdr:row>
      <xdr:rowOff>161807</xdr:rowOff>
    </xdr:from>
    <xdr:to>
      <xdr:col>2</xdr:col>
      <xdr:colOff>817433</xdr:colOff>
      <xdr:row>44</xdr:row>
      <xdr:rowOff>190501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63F55DB-2996-BB02-2AB0-C938B68D7A46}"/>
            </a:ext>
          </a:extLst>
        </xdr:cNvPr>
        <xdr:cNvSpPr txBox="1"/>
      </xdr:nvSpPr>
      <xdr:spPr>
        <a:xfrm>
          <a:off x="2022959" y="9654150"/>
          <a:ext cx="340245" cy="2409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10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3</xdr:col>
      <xdr:colOff>519981</xdr:colOff>
      <xdr:row>43</xdr:row>
      <xdr:rowOff>161807</xdr:rowOff>
    </xdr:from>
    <xdr:to>
      <xdr:col>3</xdr:col>
      <xdr:colOff>859241</xdr:colOff>
      <xdr:row>44</xdr:row>
      <xdr:rowOff>190501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E21954E-176E-DEF3-B74F-5F0C68F0292B}"/>
            </a:ext>
          </a:extLst>
        </xdr:cNvPr>
        <xdr:cNvSpPr txBox="1"/>
      </xdr:nvSpPr>
      <xdr:spPr>
        <a:xfrm>
          <a:off x="2952938" y="9654150"/>
          <a:ext cx="339260" cy="2409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4</xdr:col>
      <xdr:colOff>569481</xdr:colOff>
      <xdr:row>43</xdr:row>
      <xdr:rowOff>161807</xdr:rowOff>
    </xdr:from>
    <xdr:to>
      <xdr:col>5</xdr:col>
      <xdr:colOff>21931</xdr:colOff>
      <xdr:row>44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963F6CE-F842-8FEE-6B38-4C79A7EBFFD6}"/>
            </a:ext>
          </a:extLst>
        </xdr:cNvPr>
        <xdr:cNvSpPr txBox="1"/>
      </xdr:nvSpPr>
      <xdr:spPr>
        <a:xfrm>
          <a:off x="3889624" y="9654150"/>
          <a:ext cx="339636" cy="2409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6</xdr:col>
      <xdr:colOff>655300</xdr:colOff>
      <xdr:row>43</xdr:row>
      <xdr:rowOff>161807</xdr:rowOff>
    </xdr:from>
    <xdr:to>
      <xdr:col>7</xdr:col>
      <xdr:colOff>108735</xdr:colOff>
      <xdr:row>44</xdr:row>
      <xdr:rowOff>190501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29731E6-A170-5F90-5960-F4A8EADA0D3F}"/>
            </a:ext>
          </a:extLst>
        </xdr:cNvPr>
        <xdr:cNvSpPr txBox="1"/>
      </xdr:nvSpPr>
      <xdr:spPr>
        <a:xfrm>
          <a:off x="5760700" y="9654150"/>
          <a:ext cx="340621" cy="2409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5</xdr:col>
      <xdr:colOff>615464</xdr:colOff>
      <xdr:row>43</xdr:row>
      <xdr:rowOff>161807</xdr:rowOff>
    </xdr:from>
    <xdr:to>
      <xdr:col>6</xdr:col>
      <xdr:colOff>61345</xdr:colOff>
      <xdr:row>44</xdr:row>
      <xdr:rowOff>190501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6E7E22-DB31-68E5-6CB0-A878CA1E4098}"/>
            </a:ext>
          </a:extLst>
        </xdr:cNvPr>
        <xdr:cNvSpPr txBox="1"/>
      </xdr:nvSpPr>
      <xdr:spPr>
        <a:xfrm>
          <a:off x="4822793" y="9654150"/>
          <a:ext cx="343952" cy="2409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</a:t>
          </a:r>
          <a:r>
            <a:rPr lang="ko-KR" altLang="en-US" sz="800" b="1"/>
            <a:t>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19050</xdr:rowOff>
    </xdr:from>
    <xdr:to>
      <xdr:col>7</xdr:col>
      <xdr:colOff>638175</xdr:colOff>
      <xdr:row>34</xdr:row>
      <xdr:rowOff>171448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5210F8A-D197-4324-8829-D8A917135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222261</xdr:colOff>
      <xdr:row>33</xdr:row>
      <xdr:rowOff>171334</xdr:rowOff>
    </xdr:from>
    <xdr:to>
      <xdr:col>1</xdr:col>
      <xdr:colOff>561521</xdr:colOff>
      <xdr:row>35</xdr:row>
      <xdr:rowOff>23655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E0A428E-6676-4D2F-AC1B-6A902323DB5A}"/>
            </a:ext>
          </a:extLst>
        </xdr:cNvPr>
        <xdr:cNvSpPr txBox="1"/>
      </xdr:nvSpPr>
      <xdr:spPr>
        <a:xfrm>
          <a:off x="1144682" y="7545689"/>
          <a:ext cx="339260" cy="273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9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2</xdr:col>
      <xdr:colOff>299677</xdr:colOff>
      <xdr:row>33</xdr:row>
      <xdr:rowOff>174673</xdr:rowOff>
    </xdr:from>
    <xdr:to>
      <xdr:col>2</xdr:col>
      <xdr:colOff>639922</xdr:colOff>
      <xdr:row>35</xdr:row>
      <xdr:rowOff>22541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E4D414E-799E-4219-ADFF-C2B5FFE6F9B0}"/>
            </a:ext>
          </a:extLst>
        </xdr:cNvPr>
        <xdr:cNvSpPr txBox="1"/>
      </xdr:nvSpPr>
      <xdr:spPr>
        <a:xfrm>
          <a:off x="2109427" y="7549028"/>
          <a:ext cx="340245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10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3</xdr:col>
      <xdr:colOff>381435</xdr:colOff>
      <xdr:row>33</xdr:row>
      <xdr:rowOff>174673</xdr:rowOff>
    </xdr:from>
    <xdr:to>
      <xdr:col>3</xdr:col>
      <xdr:colOff>720695</xdr:colOff>
      <xdr:row>35</xdr:row>
      <xdr:rowOff>22541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3A75887-0414-4FD1-8E21-775EDE49E4A9}"/>
            </a:ext>
          </a:extLst>
        </xdr:cNvPr>
        <xdr:cNvSpPr txBox="1"/>
      </xdr:nvSpPr>
      <xdr:spPr>
        <a:xfrm>
          <a:off x="3078514" y="7549028"/>
          <a:ext cx="339260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4</xdr:col>
      <xdr:colOff>454142</xdr:colOff>
      <xdr:row>33</xdr:row>
      <xdr:rowOff>174673</xdr:rowOff>
    </xdr:from>
    <xdr:to>
      <xdr:col>4</xdr:col>
      <xdr:colOff>794148</xdr:colOff>
      <xdr:row>35</xdr:row>
      <xdr:rowOff>22541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0131B4E-47B3-4A8C-B939-2615ABAEBBC9}"/>
            </a:ext>
          </a:extLst>
        </xdr:cNvPr>
        <xdr:cNvSpPr txBox="1"/>
      </xdr:nvSpPr>
      <xdr:spPr>
        <a:xfrm>
          <a:off x="4038550" y="7549028"/>
          <a:ext cx="340006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6</xdr:col>
      <xdr:colOff>622221</xdr:colOff>
      <xdr:row>33</xdr:row>
      <xdr:rowOff>174673</xdr:rowOff>
    </xdr:from>
    <xdr:to>
      <xdr:col>7</xdr:col>
      <xdr:colOff>75656</xdr:colOff>
      <xdr:row>35</xdr:row>
      <xdr:rowOff>22541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456D90E-78DD-4210-BED2-5A9E9B7D325F}"/>
            </a:ext>
          </a:extLst>
        </xdr:cNvPr>
        <xdr:cNvSpPr txBox="1"/>
      </xdr:nvSpPr>
      <xdr:spPr>
        <a:xfrm>
          <a:off x="5991313" y="7549028"/>
          <a:ext cx="340764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0</xdr:col>
      <xdr:colOff>9525</xdr:colOff>
      <xdr:row>36</xdr:row>
      <xdr:rowOff>7327</xdr:rowOff>
    </xdr:from>
    <xdr:to>
      <xdr:col>7</xdr:col>
      <xdr:colOff>638175</xdr:colOff>
      <xdr:row>42</xdr:row>
      <xdr:rowOff>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A867FF04-BD80-40EF-B374-5458A8005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539093</xdr:colOff>
      <xdr:row>33</xdr:row>
      <xdr:rowOff>174673</xdr:rowOff>
    </xdr:from>
    <xdr:to>
      <xdr:col>5</xdr:col>
      <xdr:colOff>881190</xdr:colOff>
      <xdr:row>35</xdr:row>
      <xdr:rowOff>22541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CCB582E-98C9-4746-8D23-1EDD1D543080}"/>
            </a:ext>
          </a:extLst>
        </xdr:cNvPr>
        <xdr:cNvSpPr txBox="1"/>
      </xdr:nvSpPr>
      <xdr:spPr>
        <a:xfrm>
          <a:off x="5010830" y="7549028"/>
          <a:ext cx="342097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1</xdr:col>
      <xdr:colOff>430080</xdr:colOff>
      <xdr:row>41</xdr:row>
      <xdr:rowOff>140035</xdr:rowOff>
    </xdr:from>
    <xdr:to>
      <xdr:col>1</xdr:col>
      <xdr:colOff>769340</xdr:colOff>
      <xdr:row>42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4B6289D-68AF-43A3-9317-34CC88AF4B85}"/>
            </a:ext>
          </a:extLst>
        </xdr:cNvPr>
        <xdr:cNvSpPr txBox="1"/>
      </xdr:nvSpPr>
      <xdr:spPr>
        <a:xfrm>
          <a:off x="1087305" y="9579310"/>
          <a:ext cx="339260" cy="2696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7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2</xdr:col>
      <xdr:colOff>477188</xdr:colOff>
      <xdr:row>41</xdr:row>
      <xdr:rowOff>161807</xdr:rowOff>
    </xdr:from>
    <xdr:to>
      <xdr:col>2</xdr:col>
      <xdr:colOff>817433</xdr:colOff>
      <xdr:row>42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1B939C2-9C43-46F5-9D81-C1EE6795A458}"/>
            </a:ext>
          </a:extLst>
        </xdr:cNvPr>
        <xdr:cNvSpPr txBox="1"/>
      </xdr:nvSpPr>
      <xdr:spPr>
        <a:xfrm>
          <a:off x="2020238" y="9601082"/>
          <a:ext cx="340245" cy="2382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8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3</xdr:col>
      <xdr:colOff>519981</xdr:colOff>
      <xdr:row>41</xdr:row>
      <xdr:rowOff>161807</xdr:rowOff>
    </xdr:from>
    <xdr:to>
      <xdr:col>3</xdr:col>
      <xdr:colOff>859241</xdr:colOff>
      <xdr:row>42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06D0B2B-F71B-4952-82F4-7557EB1AC5D9}"/>
            </a:ext>
          </a:extLst>
        </xdr:cNvPr>
        <xdr:cNvSpPr txBox="1"/>
      </xdr:nvSpPr>
      <xdr:spPr>
        <a:xfrm>
          <a:off x="2948856" y="9601082"/>
          <a:ext cx="339260" cy="2382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9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4</xdr:col>
      <xdr:colOff>558051</xdr:colOff>
      <xdr:row>41</xdr:row>
      <xdr:rowOff>161807</xdr:rowOff>
    </xdr:from>
    <xdr:to>
      <xdr:col>5</xdr:col>
      <xdr:colOff>10501</xdr:colOff>
      <xdr:row>42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DD947110-FC56-4DD9-99AD-5B05E024B405}"/>
            </a:ext>
          </a:extLst>
        </xdr:cNvPr>
        <xdr:cNvSpPr txBox="1"/>
      </xdr:nvSpPr>
      <xdr:spPr>
        <a:xfrm>
          <a:off x="3880371" y="9427727"/>
          <a:ext cx="340180" cy="2382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10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6</xdr:col>
      <xdr:colOff>643870</xdr:colOff>
      <xdr:row>41</xdr:row>
      <xdr:rowOff>161807</xdr:rowOff>
    </xdr:from>
    <xdr:to>
      <xdr:col>7</xdr:col>
      <xdr:colOff>97305</xdr:colOff>
      <xdr:row>42</xdr:row>
      <xdr:rowOff>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A463C499-8EED-48D2-9DC9-D9D08425C811}"/>
            </a:ext>
          </a:extLst>
        </xdr:cNvPr>
        <xdr:cNvSpPr txBox="1"/>
      </xdr:nvSpPr>
      <xdr:spPr>
        <a:xfrm>
          <a:off x="5749270" y="9427727"/>
          <a:ext cx="341165" cy="2382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5</xdr:col>
      <xdr:colOff>604034</xdr:colOff>
      <xdr:row>41</xdr:row>
      <xdr:rowOff>161807</xdr:rowOff>
    </xdr:from>
    <xdr:to>
      <xdr:col>6</xdr:col>
      <xdr:colOff>49915</xdr:colOff>
      <xdr:row>42</xdr:row>
      <xdr:rowOff>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FBC95D2-58B6-4947-B307-D4E56364FE6E}"/>
            </a:ext>
          </a:extLst>
        </xdr:cNvPr>
        <xdr:cNvSpPr txBox="1"/>
      </xdr:nvSpPr>
      <xdr:spPr>
        <a:xfrm>
          <a:off x="4814084" y="9427727"/>
          <a:ext cx="341231" cy="2382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1</xdr:col>
      <xdr:colOff>222261</xdr:colOff>
      <xdr:row>40</xdr:row>
      <xdr:rowOff>206425</xdr:rowOff>
    </xdr:from>
    <xdr:to>
      <xdr:col>1</xdr:col>
      <xdr:colOff>561521</xdr:colOff>
      <xdr:row>42</xdr:row>
      <xdr:rowOff>58747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AFF2ABB8-2AA6-F3DC-C8AF-B3CF838A9B28}"/>
            </a:ext>
          </a:extLst>
        </xdr:cNvPr>
        <xdr:cNvSpPr txBox="1"/>
      </xdr:nvSpPr>
      <xdr:spPr>
        <a:xfrm>
          <a:off x="1144682" y="9054649"/>
          <a:ext cx="339260" cy="273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9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2</xdr:col>
      <xdr:colOff>299677</xdr:colOff>
      <xdr:row>40</xdr:row>
      <xdr:rowOff>209764</xdr:rowOff>
    </xdr:from>
    <xdr:to>
      <xdr:col>2</xdr:col>
      <xdr:colOff>639922</xdr:colOff>
      <xdr:row>42</xdr:row>
      <xdr:rowOff>57633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B9D9910B-4601-F581-D848-6A6B7E9B620A}"/>
            </a:ext>
          </a:extLst>
        </xdr:cNvPr>
        <xdr:cNvSpPr txBox="1"/>
      </xdr:nvSpPr>
      <xdr:spPr>
        <a:xfrm>
          <a:off x="2109427" y="9057988"/>
          <a:ext cx="340245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10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3</xdr:col>
      <xdr:colOff>381435</xdr:colOff>
      <xdr:row>40</xdr:row>
      <xdr:rowOff>209764</xdr:rowOff>
    </xdr:from>
    <xdr:to>
      <xdr:col>3</xdr:col>
      <xdr:colOff>720695</xdr:colOff>
      <xdr:row>42</xdr:row>
      <xdr:rowOff>57633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AA932DAC-5C08-E6A5-FEFE-A98AA5CAEB23}"/>
            </a:ext>
          </a:extLst>
        </xdr:cNvPr>
        <xdr:cNvSpPr txBox="1"/>
      </xdr:nvSpPr>
      <xdr:spPr>
        <a:xfrm>
          <a:off x="3078514" y="9057988"/>
          <a:ext cx="339260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11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4</xdr:col>
      <xdr:colOff>454142</xdr:colOff>
      <xdr:row>40</xdr:row>
      <xdr:rowOff>209764</xdr:rowOff>
    </xdr:from>
    <xdr:to>
      <xdr:col>4</xdr:col>
      <xdr:colOff>794148</xdr:colOff>
      <xdr:row>42</xdr:row>
      <xdr:rowOff>57633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7E11FA8-59C9-E35F-A76B-1FD0A861E31F}"/>
            </a:ext>
          </a:extLst>
        </xdr:cNvPr>
        <xdr:cNvSpPr txBox="1"/>
      </xdr:nvSpPr>
      <xdr:spPr>
        <a:xfrm>
          <a:off x="4038550" y="9057988"/>
          <a:ext cx="340006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6</xdr:col>
      <xdr:colOff>622221</xdr:colOff>
      <xdr:row>40</xdr:row>
      <xdr:rowOff>209764</xdr:rowOff>
    </xdr:from>
    <xdr:to>
      <xdr:col>7</xdr:col>
      <xdr:colOff>75656</xdr:colOff>
      <xdr:row>42</xdr:row>
      <xdr:rowOff>57633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99073AE-22DE-5136-76D6-7F27A52045AE}"/>
            </a:ext>
          </a:extLst>
        </xdr:cNvPr>
        <xdr:cNvSpPr txBox="1"/>
      </xdr:nvSpPr>
      <xdr:spPr>
        <a:xfrm>
          <a:off x="5991313" y="9057988"/>
          <a:ext cx="340764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2</a:t>
          </a:r>
          <a:r>
            <a:rPr lang="ko-KR" altLang="en-US" sz="800" b="1"/>
            <a:t>월</a:t>
          </a:r>
        </a:p>
      </xdr:txBody>
    </xdr:sp>
    <xdr:clientData/>
  </xdr:twoCellAnchor>
  <xdr:twoCellAnchor>
    <xdr:from>
      <xdr:col>5</xdr:col>
      <xdr:colOff>539093</xdr:colOff>
      <xdr:row>40</xdr:row>
      <xdr:rowOff>209764</xdr:rowOff>
    </xdr:from>
    <xdr:to>
      <xdr:col>5</xdr:col>
      <xdr:colOff>881190</xdr:colOff>
      <xdr:row>42</xdr:row>
      <xdr:rowOff>57633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DC04A53-D66A-673D-6DA2-466F1D305500}"/>
            </a:ext>
          </a:extLst>
        </xdr:cNvPr>
        <xdr:cNvSpPr txBox="1"/>
      </xdr:nvSpPr>
      <xdr:spPr>
        <a:xfrm>
          <a:off x="5010830" y="9057988"/>
          <a:ext cx="342097" cy="268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 b="1"/>
            <a:t>1</a:t>
          </a:r>
          <a:r>
            <a:rPr lang="ko-KR" altLang="en-US" sz="800" b="1"/>
            <a:t>월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17</xdr:row>
      <xdr:rowOff>104775</xdr:rowOff>
    </xdr:from>
    <xdr:to>
      <xdr:col>4</xdr:col>
      <xdr:colOff>876300</xdr:colOff>
      <xdr:row>20</xdr:row>
      <xdr:rowOff>123825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3E65B04-68A7-B119-A010-32929CD0C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3810000"/>
          <a:ext cx="2743200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5</xdr:row>
      <xdr:rowOff>85726</xdr:rowOff>
    </xdr:from>
    <xdr:to>
      <xdr:col>7</xdr:col>
      <xdr:colOff>828675</xdr:colOff>
      <xdr:row>15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48E7E5D-7BDA-47F9-FB4A-BFEB7F90F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1162051"/>
          <a:ext cx="6734175" cy="2257424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17</xdr:row>
      <xdr:rowOff>66675</xdr:rowOff>
    </xdr:from>
    <xdr:to>
      <xdr:col>7</xdr:col>
      <xdr:colOff>809625</xdr:colOff>
      <xdr:row>20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5A5700EF-CA7A-1D0D-D569-4123769B1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14800" y="3771900"/>
          <a:ext cx="2686050" cy="752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8</xdr:row>
      <xdr:rowOff>200025</xdr:rowOff>
    </xdr:from>
    <xdr:to>
      <xdr:col>6</xdr:col>
      <xdr:colOff>896057</xdr:colOff>
      <xdr:row>43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96E575BA-D99F-4DA0-20CC-96847F67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1933575"/>
          <a:ext cx="5068007" cy="7305675"/>
        </a:xfrm>
        <a:prstGeom prst="rect">
          <a:avLst/>
        </a:prstGeom>
      </xdr:spPr>
    </xdr:pic>
    <xdr:clientData/>
  </xdr:twoCellAnchor>
  <xdr:twoCellAnchor>
    <xdr:from>
      <xdr:col>1</xdr:col>
      <xdr:colOff>704850</xdr:colOff>
      <xdr:row>15</xdr:row>
      <xdr:rowOff>133350</xdr:rowOff>
    </xdr:from>
    <xdr:to>
      <xdr:col>4</xdr:col>
      <xdr:colOff>571500</xdr:colOff>
      <xdr:row>16</xdr:row>
      <xdr:rowOff>133350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73442880-ABD3-0E0D-438A-ADA28886479A}"/>
            </a:ext>
          </a:extLst>
        </xdr:cNvPr>
        <xdr:cNvSpPr/>
      </xdr:nvSpPr>
      <xdr:spPr>
        <a:xfrm>
          <a:off x="962025" y="3400425"/>
          <a:ext cx="2714625" cy="219075"/>
        </a:xfrm>
        <a:prstGeom prst="rect">
          <a:avLst/>
        </a:prstGeom>
        <a:noFill/>
        <a:ln>
          <a:solidFill>
            <a:srgbClr val="EA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790575</xdr:colOff>
      <xdr:row>20</xdr:row>
      <xdr:rowOff>161926</xdr:rowOff>
    </xdr:from>
    <xdr:to>
      <xdr:col>5</xdr:col>
      <xdr:colOff>390525</xdr:colOff>
      <xdr:row>21</xdr:row>
      <xdr:rowOff>152401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EFE74B1F-7353-47C6-8590-041AB3F71D92}"/>
            </a:ext>
          </a:extLst>
        </xdr:cNvPr>
        <xdr:cNvSpPr/>
      </xdr:nvSpPr>
      <xdr:spPr>
        <a:xfrm>
          <a:off x="1047750" y="4524376"/>
          <a:ext cx="3409950" cy="209550"/>
        </a:xfrm>
        <a:prstGeom prst="rect">
          <a:avLst/>
        </a:prstGeom>
        <a:noFill/>
        <a:ln>
          <a:solidFill>
            <a:srgbClr val="EA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762000</xdr:colOff>
      <xdr:row>40</xdr:row>
      <xdr:rowOff>1</xdr:rowOff>
    </xdr:from>
    <xdr:to>
      <xdr:col>4</xdr:col>
      <xdr:colOff>628650</xdr:colOff>
      <xdr:row>40</xdr:row>
      <xdr:rowOff>200025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9A3677A5-D29C-4CD9-8A50-B3CB07D7C2FC}"/>
            </a:ext>
          </a:extLst>
        </xdr:cNvPr>
        <xdr:cNvSpPr/>
      </xdr:nvSpPr>
      <xdr:spPr>
        <a:xfrm>
          <a:off x="1019175" y="8420101"/>
          <a:ext cx="2714625" cy="200024"/>
        </a:xfrm>
        <a:prstGeom prst="rect">
          <a:avLst/>
        </a:prstGeom>
        <a:noFill/>
        <a:ln>
          <a:solidFill>
            <a:srgbClr val="EA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247649</xdr:colOff>
      <xdr:row>29</xdr:row>
      <xdr:rowOff>171451</xdr:rowOff>
    </xdr:from>
    <xdr:to>
      <xdr:col>5</xdr:col>
      <xdr:colOff>485775</xdr:colOff>
      <xdr:row>31</xdr:row>
      <xdr:rowOff>142875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BD19CCE-BDF1-245E-5A96-3BF035017585}"/>
            </a:ext>
          </a:extLst>
        </xdr:cNvPr>
        <xdr:cNvSpPr txBox="1"/>
      </xdr:nvSpPr>
      <xdr:spPr>
        <a:xfrm>
          <a:off x="247649" y="6343651"/>
          <a:ext cx="4305301" cy="4095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ko-KR" altLang="en-US" sz="1100"/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4</xdr:col>
      <xdr:colOff>914400</xdr:colOff>
      <xdr:row>9</xdr:row>
      <xdr:rowOff>180975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3611036-A28B-CEEB-7A5A-A317FBCB8191}"/>
            </a:ext>
          </a:extLst>
        </xdr:cNvPr>
        <xdr:cNvSpPr txBox="1"/>
      </xdr:nvSpPr>
      <xdr:spPr>
        <a:xfrm>
          <a:off x="0" y="1847850"/>
          <a:ext cx="40195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1. </a:t>
          </a:r>
          <a:r>
            <a:rPr lang="ko-KR" altLang="en-US" sz="1100"/>
            <a:t>무보형물 코수술 후기</a:t>
          </a:r>
          <a:r>
            <a:rPr lang="en-US" altLang="ko-KR" sz="1100" baseline="0"/>
            <a:t> </a:t>
          </a:r>
          <a:r>
            <a:rPr lang="en-US" altLang="ko-KR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https://cafe.naver.com/feko/10274054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en-US" sz="1100"/>
        </a:p>
      </xdr:txBody>
    </xdr:sp>
    <xdr:clientData/>
  </xdr:twoCellAnchor>
  <xdr:twoCellAnchor>
    <xdr:from>
      <xdr:col>0</xdr:col>
      <xdr:colOff>76200</xdr:colOff>
      <xdr:row>28</xdr:row>
      <xdr:rowOff>19050</xdr:rowOff>
    </xdr:from>
    <xdr:to>
      <xdr:col>4</xdr:col>
      <xdr:colOff>676276</xdr:colOff>
      <xdr:row>31</xdr:row>
      <xdr:rowOff>47624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594A641-8B6E-4A35-920D-225D8C6CCB48}"/>
            </a:ext>
          </a:extLst>
        </xdr:cNvPr>
        <xdr:cNvSpPr txBox="1"/>
      </xdr:nvSpPr>
      <xdr:spPr>
        <a:xfrm>
          <a:off x="76200" y="5972175"/>
          <a:ext cx="3705226" cy="685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lang="en-US" altLang="ko-KR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텍스트 후기</a:t>
          </a:r>
          <a:endParaRPr lang="en-US" altLang="ko-KR" sz="110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https://cafe.naver.com/luxury009/1405138</a:t>
          </a:r>
          <a:r>
            <a:rPr lang="ko-KR" alt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 b="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 b="0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ko-KR" altLang="en-US" sz="1100"/>
        </a:p>
      </xdr:txBody>
    </xdr:sp>
    <xdr:clientData/>
  </xdr:twoCellAnchor>
  <xdr:twoCellAnchor editAs="oneCell">
    <xdr:from>
      <xdr:col>1</xdr:col>
      <xdr:colOff>200025</xdr:colOff>
      <xdr:row>10</xdr:row>
      <xdr:rowOff>142875</xdr:rowOff>
    </xdr:from>
    <xdr:to>
      <xdr:col>3</xdr:col>
      <xdr:colOff>542925</xdr:colOff>
      <xdr:row>24</xdr:row>
      <xdr:rowOff>97406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96FD5C7-E94C-3628-4BF1-1E0D21172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0" y="2314575"/>
          <a:ext cx="2228850" cy="2859656"/>
        </a:xfrm>
        <a:prstGeom prst="rect">
          <a:avLst/>
        </a:prstGeom>
      </xdr:spPr>
    </xdr:pic>
    <xdr:clientData/>
  </xdr:twoCellAnchor>
  <xdr:twoCellAnchor editAs="oneCell">
    <xdr:from>
      <xdr:col>3</xdr:col>
      <xdr:colOff>619126</xdr:colOff>
      <xdr:row>10</xdr:row>
      <xdr:rowOff>152401</xdr:rowOff>
    </xdr:from>
    <xdr:to>
      <xdr:col>6</xdr:col>
      <xdr:colOff>196745</xdr:colOff>
      <xdr:row>22</xdr:row>
      <xdr:rowOff>161925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BD2DA95-6591-6870-E78E-9B0755DDA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62251" y="2324101"/>
          <a:ext cx="2463694" cy="2638424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31</xdr:row>
      <xdr:rowOff>104776</xdr:rowOff>
    </xdr:from>
    <xdr:to>
      <xdr:col>4</xdr:col>
      <xdr:colOff>409575</xdr:colOff>
      <xdr:row>41</xdr:row>
      <xdr:rowOff>201466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2F146B-0BA7-DACD-36D2-10512C49C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6715126"/>
          <a:ext cx="3390900" cy="2125515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27</xdr:row>
      <xdr:rowOff>161925</xdr:rowOff>
    </xdr:from>
    <xdr:to>
      <xdr:col>8</xdr:col>
      <xdr:colOff>495301</xdr:colOff>
      <xdr:row>30</xdr:row>
      <xdr:rowOff>190499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DED15B1B-D2D8-4F50-871D-100344651D5F}"/>
            </a:ext>
          </a:extLst>
        </xdr:cNvPr>
        <xdr:cNvSpPr txBox="1"/>
      </xdr:nvSpPr>
      <xdr:spPr>
        <a:xfrm>
          <a:off x="3705225" y="5895975"/>
          <a:ext cx="3705226" cy="685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en-US" altLang="ko-KR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상담 후기</a:t>
          </a:r>
          <a:endParaRPr lang="en-US" altLang="ko-KR" sz="110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https://cafe.naver.com/feko/10259063</a:t>
          </a:r>
          <a:endParaRPr lang="en-US" altLang="ko-KR" sz="1100" b="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 b="0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ko-KR" altLang="en-US" sz="1100"/>
        </a:p>
      </xdr:txBody>
    </xdr:sp>
    <xdr:clientData/>
  </xdr:twoCellAnchor>
  <xdr:twoCellAnchor editAs="oneCell">
    <xdr:from>
      <xdr:col>4</xdr:col>
      <xdr:colOff>571501</xdr:colOff>
      <xdr:row>31</xdr:row>
      <xdr:rowOff>114301</xdr:rowOff>
    </xdr:from>
    <xdr:to>
      <xdr:col>7</xdr:col>
      <xdr:colOff>438150</xdr:colOff>
      <xdr:row>42</xdr:row>
      <xdr:rowOff>90144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1D3CEBB3-8860-463E-F23F-AEAB884D4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6651" y="6724651"/>
          <a:ext cx="2752724" cy="2223743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CABC-348A-4CA8-86F7-7FA524161564}">
  <sheetPr codeName="Sheet1"/>
  <dimension ref="A1:H46"/>
  <sheetViews>
    <sheetView tabSelected="1" zoomScaleNormal="100" workbookViewId="0">
      <selection activeCell="F27" sqref="F27"/>
    </sheetView>
  </sheetViews>
  <sheetFormatPr defaultRowHeight="16.5" x14ac:dyDescent="0.3"/>
  <cols>
    <col min="1" max="1" width="8.625" style="1" customWidth="1"/>
    <col min="2" max="5" width="11.625" style="1" customWidth="1"/>
    <col min="6" max="6" width="11.75" style="1" customWidth="1"/>
    <col min="7" max="7" width="11.625" style="1" customWidth="1"/>
    <col min="8" max="8" width="8.625" style="1" customWidth="1"/>
  </cols>
  <sheetData>
    <row r="1" spans="1:8" ht="17.25" customHeight="1" x14ac:dyDescent="0.3">
      <c r="A1" s="6"/>
      <c r="B1" s="7"/>
      <c r="C1" s="7"/>
      <c r="D1" s="7"/>
      <c r="E1" s="7"/>
      <c r="F1" s="7"/>
      <c r="G1" s="35"/>
      <c r="H1" s="36"/>
    </row>
    <row r="2" spans="1:8" ht="17.25" customHeight="1" x14ac:dyDescent="0.3">
      <c r="A2" s="9"/>
      <c r="D2"/>
      <c r="E2"/>
      <c r="G2"/>
      <c r="H2" s="37"/>
    </row>
    <row r="3" spans="1:8" ht="17.25" customHeight="1" x14ac:dyDescent="0.45">
      <c r="A3" s="38"/>
      <c r="B3" s="31"/>
      <c r="C3" s="10"/>
      <c r="D3" s="10"/>
      <c r="E3" s="10"/>
      <c r="F3" s="10"/>
      <c r="H3" s="8"/>
    </row>
    <row r="4" spans="1:8" ht="17.25" customHeight="1" x14ac:dyDescent="0.45">
      <c r="A4" s="38"/>
      <c r="B4" s="10"/>
      <c r="C4" s="10"/>
      <c r="D4" s="10"/>
      <c r="E4" s="10"/>
      <c r="F4" s="10"/>
      <c r="G4" s="10"/>
      <c r="H4" s="8"/>
    </row>
    <row r="5" spans="1:8" ht="17.25" customHeight="1" x14ac:dyDescent="0.3">
      <c r="A5" s="39"/>
      <c r="B5" s="10"/>
      <c r="C5" s="10"/>
      <c r="D5" s="10"/>
      <c r="E5" s="10"/>
      <c r="F5" s="10"/>
      <c r="G5" s="10"/>
      <c r="H5" s="37"/>
    </row>
    <row r="6" spans="1:8" ht="17.25" customHeight="1" x14ac:dyDescent="0.3">
      <c r="A6" s="39"/>
      <c r="B6" s="10"/>
      <c r="C6" s="10"/>
      <c r="D6" s="10"/>
      <c r="E6" s="10"/>
      <c r="F6" s="10"/>
      <c r="G6" s="10"/>
      <c r="H6" s="37"/>
    </row>
    <row r="7" spans="1:8" ht="17.25" customHeight="1" x14ac:dyDescent="0.3">
      <c r="A7" s="81"/>
      <c r="B7" s="10"/>
      <c r="C7" s="10"/>
      <c r="D7" s="10"/>
      <c r="E7" s="10"/>
      <c r="F7" s="10"/>
      <c r="G7" s="10"/>
      <c r="H7" s="37"/>
    </row>
    <row r="8" spans="1:8" ht="17.25" customHeight="1" thickBot="1" x14ac:dyDescent="0.35">
      <c r="A8" s="39"/>
      <c r="B8" s="10"/>
      <c r="C8" s="10"/>
      <c r="D8" s="10"/>
      <c r="E8" s="10"/>
      <c r="F8" s="10"/>
      <c r="G8" s="10"/>
      <c r="H8" s="37"/>
    </row>
    <row r="9" spans="1:8" ht="17.25" customHeight="1" x14ac:dyDescent="0.3">
      <c r="A9" s="39"/>
      <c r="B9" s="10"/>
      <c r="C9" s="40"/>
      <c r="D9" s="40"/>
      <c r="E9" s="40"/>
      <c r="F9" s="40"/>
      <c r="G9" s="10"/>
      <c r="H9" s="37"/>
    </row>
    <row r="10" spans="1:8" ht="17.25" customHeight="1" x14ac:dyDescent="0.3">
      <c r="A10" s="39"/>
      <c r="B10" s="10"/>
      <c r="C10" s="94" t="e" vm="1">
        <v>#VALUE!</v>
      </c>
      <c r="D10" s="94"/>
      <c r="E10" s="94"/>
      <c r="F10" s="94"/>
      <c r="G10" s="10"/>
      <c r="H10" s="37"/>
    </row>
    <row r="11" spans="1:8" ht="17.25" customHeight="1" x14ac:dyDescent="0.3">
      <c r="A11" s="39"/>
      <c r="B11" s="10"/>
      <c r="C11" s="94"/>
      <c r="D11" s="94"/>
      <c r="E11" s="94"/>
      <c r="F11" s="94"/>
      <c r="G11" s="10"/>
      <c r="H11" s="37"/>
    </row>
    <row r="12" spans="1:8" ht="17.25" customHeight="1" thickBot="1" x14ac:dyDescent="0.35">
      <c r="A12" s="39"/>
      <c r="B12" s="10"/>
      <c r="C12" s="42"/>
      <c r="D12" s="42"/>
      <c r="E12" s="42"/>
      <c r="F12" s="42"/>
      <c r="G12" s="10"/>
      <c r="H12" s="37"/>
    </row>
    <row r="13" spans="1:8" ht="17.25" customHeight="1" x14ac:dyDescent="0.3">
      <c r="A13" s="39"/>
      <c r="B13" s="10"/>
      <c r="C13" s="10"/>
      <c r="D13" s="10"/>
      <c r="E13" s="10"/>
      <c r="F13" s="10"/>
      <c r="G13" s="10"/>
      <c r="H13" s="37"/>
    </row>
    <row r="14" spans="1:8" ht="17.25" customHeight="1" x14ac:dyDescent="0.3">
      <c r="A14" s="39"/>
      <c r="B14"/>
      <c r="C14"/>
      <c r="D14"/>
      <c r="E14"/>
      <c r="F14"/>
      <c r="G14"/>
      <c r="H14" s="37"/>
    </row>
    <row r="15" spans="1:8" ht="17.25" customHeight="1" x14ac:dyDescent="0.3">
      <c r="A15" s="39"/>
      <c r="B15"/>
      <c r="C15"/>
      <c r="D15"/>
      <c r="E15"/>
      <c r="F15"/>
      <c r="G15"/>
      <c r="H15" s="37"/>
    </row>
    <row r="16" spans="1:8" ht="17.25" customHeight="1" x14ac:dyDescent="0.3">
      <c r="A16" s="39"/>
      <c r="B16"/>
      <c r="C16"/>
      <c r="D16"/>
      <c r="E16"/>
      <c r="F16"/>
      <c r="G16"/>
      <c r="H16" s="37"/>
    </row>
    <row r="17" spans="1:8" ht="17.25" customHeight="1" x14ac:dyDescent="0.3">
      <c r="A17" s="39"/>
      <c r="B17"/>
      <c r="C17"/>
      <c r="D17"/>
      <c r="E17"/>
      <c r="F17"/>
      <c r="G17"/>
      <c r="H17" s="37"/>
    </row>
    <row r="18" spans="1:8" ht="17.25" customHeight="1" x14ac:dyDescent="0.3">
      <c r="A18" s="39"/>
      <c r="B18" s="41"/>
      <c r="C18" s="93" t="s">
        <v>81</v>
      </c>
      <c r="D18" s="93"/>
      <c r="E18" s="93"/>
      <c r="F18" s="93"/>
      <c r="G18" s="41"/>
      <c r="H18" s="37"/>
    </row>
    <row r="19" spans="1:8" ht="17.25" customHeight="1" x14ac:dyDescent="0.3">
      <c r="A19" s="39"/>
      <c r="B19" s="41"/>
      <c r="C19" s="93"/>
      <c r="D19" s="93"/>
      <c r="E19" s="93"/>
      <c r="F19" s="93"/>
      <c r="G19" s="41"/>
      <c r="H19" s="37"/>
    </row>
    <row r="20" spans="1:8" ht="25.5" customHeight="1" x14ac:dyDescent="0.3">
      <c r="A20" s="39"/>
      <c r="B20" s="92" t="s">
        <v>82</v>
      </c>
      <c r="C20" s="92"/>
      <c r="D20" s="92"/>
      <c r="E20" s="92"/>
      <c r="F20" s="92"/>
      <c r="G20" s="92"/>
      <c r="H20" s="37"/>
    </row>
    <row r="21" spans="1:8" ht="17.25" customHeight="1" x14ac:dyDescent="0.3">
      <c r="A21" s="39"/>
      <c r="B21"/>
      <c r="C21"/>
      <c r="D21"/>
      <c r="E21"/>
      <c r="F21"/>
      <c r="G21"/>
      <c r="H21" s="37"/>
    </row>
    <row r="22" spans="1:8" ht="17.25" customHeight="1" x14ac:dyDescent="0.3">
      <c r="A22" s="39"/>
      <c r="B22"/>
      <c r="C22"/>
      <c r="D22"/>
      <c r="E22"/>
      <c r="F22"/>
      <c r="G22"/>
      <c r="H22" s="37"/>
    </row>
    <row r="23" spans="1:8" ht="17.25" customHeight="1" x14ac:dyDescent="0.3">
      <c r="A23" s="39"/>
      <c r="B23"/>
      <c r="C23"/>
      <c r="D23"/>
      <c r="E23"/>
      <c r="F23"/>
      <c r="G23"/>
      <c r="H23" s="37"/>
    </row>
    <row r="24" spans="1:8" ht="17.25" customHeight="1" x14ac:dyDescent="0.3">
      <c r="A24" s="39"/>
      <c r="B24"/>
      <c r="C24"/>
      <c r="D24"/>
      <c r="E24"/>
      <c r="F24"/>
      <c r="G24"/>
      <c r="H24" s="37"/>
    </row>
    <row r="25" spans="1:8" ht="17.25" customHeight="1" x14ac:dyDescent="0.3">
      <c r="A25" s="39"/>
      <c r="B25"/>
      <c r="C25"/>
      <c r="D25"/>
      <c r="E25"/>
      <c r="F25"/>
      <c r="G25"/>
      <c r="H25" s="37"/>
    </row>
    <row r="26" spans="1:8" ht="17.25" customHeight="1" x14ac:dyDescent="0.3">
      <c r="A26" s="9"/>
      <c r="C26"/>
      <c r="D26"/>
      <c r="E26"/>
      <c r="F26"/>
      <c r="G26"/>
      <c r="H26" s="37"/>
    </row>
    <row r="27" spans="1:8" ht="17.25" customHeight="1" x14ac:dyDescent="0.3">
      <c r="A27" s="9"/>
      <c r="B27"/>
      <c r="C27"/>
      <c r="D27"/>
      <c r="E27"/>
      <c r="F27"/>
      <c r="G27"/>
      <c r="H27" s="37"/>
    </row>
    <row r="28" spans="1:8" ht="17.25" customHeight="1" x14ac:dyDescent="0.3">
      <c r="A28" s="9"/>
      <c r="B28"/>
      <c r="C28"/>
      <c r="D28"/>
      <c r="E28"/>
      <c r="F28"/>
      <c r="G28"/>
      <c r="H28" s="37"/>
    </row>
    <row r="29" spans="1:8" ht="17.25" customHeight="1" x14ac:dyDescent="0.3">
      <c r="A29" s="9"/>
      <c r="B29"/>
      <c r="C29"/>
      <c r="D29"/>
      <c r="E29"/>
      <c r="F29"/>
      <c r="G29"/>
      <c r="H29" s="37"/>
    </row>
    <row r="30" spans="1:8" ht="17.25" customHeight="1" x14ac:dyDescent="0.3">
      <c r="A30" s="9"/>
      <c r="B30"/>
      <c r="C30"/>
      <c r="D30"/>
      <c r="E30"/>
      <c r="F30"/>
      <c r="G30"/>
      <c r="H30" s="37"/>
    </row>
    <row r="31" spans="1:8" ht="17.25" customHeight="1" x14ac:dyDescent="0.3">
      <c r="A31" s="9"/>
      <c r="B31"/>
      <c r="C31"/>
      <c r="D31"/>
      <c r="E31"/>
      <c r="F31"/>
      <c r="G31"/>
      <c r="H31" s="37"/>
    </row>
    <row r="32" spans="1:8" ht="17.25" customHeight="1" x14ac:dyDescent="0.3">
      <c r="A32" s="9"/>
      <c r="B32"/>
      <c r="C32"/>
      <c r="D32"/>
      <c r="E32"/>
      <c r="F32"/>
      <c r="G32"/>
      <c r="H32" s="8"/>
    </row>
    <row r="33" spans="1:8" ht="17.25" customHeight="1" x14ac:dyDescent="0.3">
      <c r="A33" s="9"/>
      <c r="B33"/>
      <c r="C33"/>
      <c r="D33"/>
      <c r="E33"/>
      <c r="F33"/>
      <c r="G33"/>
      <c r="H33" s="8"/>
    </row>
    <row r="34" spans="1:8" ht="17.25" customHeight="1" x14ac:dyDescent="0.3">
      <c r="A34" s="9"/>
      <c r="B34"/>
      <c r="C34"/>
      <c r="D34"/>
      <c r="E34"/>
      <c r="F34"/>
      <c r="G34"/>
      <c r="H34" s="8"/>
    </row>
    <row r="35" spans="1:8" ht="17.25" customHeight="1" x14ac:dyDescent="0.3">
      <c r="A35" s="9"/>
      <c r="B35"/>
      <c r="C35"/>
      <c r="D35"/>
      <c r="E35"/>
      <c r="F35"/>
      <c r="G35"/>
      <c r="H35" s="8"/>
    </row>
    <row r="36" spans="1:8" ht="17.25" customHeight="1" x14ac:dyDescent="0.3">
      <c r="A36" s="9"/>
      <c r="B36"/>
      <c r="C36"/>
      <c r="D36"/>
      <c r="E36"/>
      <c r="F36"/>
      <c r="H36" s="8"/>
    </row>
    <row r="37" spans="1:8" ht="17.25" customHeight="1" x14ac:dyDescent="0.3">
      <c r="A37" s="9"/>
      <c r="C37" s="95" t="e" vm="2">
        <v>#VALUE!</v>
      </c>
      <c r="D37" s="95"/>
      <c r="E37" s="95"/>
      <c r="F37" s="95"/>
      <c r="H37" s="8"/>
    </row>
    <row r="38" spans="1:8" ht="17.25" customHeight="1" x14ac:dyDescent="0.3">
      <c r="A38" s="9"/>
      <c r="C38" s="96"/>
      <c r="D38" s="96"/>
      <c r="E38" s="96"/>
      <c r="F38" s="96"/>
      <c r="H38" s="8"/>
    </row>
    <row r="39" spans="1:8" ht="17.25" customHeight="1" x14ac:dyDescent="0.3">
      <c r="A39" s="9"/>
      <c r="C39" s="97" t="s">
        <v>18</v>
      </c>
      <c r="D39" s="97"/>
      <c r="E39" s="97"/>
      <c r="F39" s="97"/>
      <c r="H39" s="8"/>
    </row>
    <row r="40" spans="1:8" ht="17.25" customHeight="1" x14ac:dyDescent="0.3">
      <c r="A40" s="9"/>
      <c r="C40" s="97"/>
      <c r="D40" s="97"/>
      <c r="E40" s="97"/>
      <c r="F40" s="97"/>
      <c r="H40" s="8"/>
    </row>
    <row r="41" spans="1:8" ht="17.25" customHeight="1" x14ac:dyDescent="0.3">
      <c r="A41" s="9"/>
      <c r="H41" s="8"/>
    </row>
    <row r="42" spans="1:8" ht="17.25" customHeight="1" x14ac:dyDescent="0.3">
      <c r="A42" s="9"/>
      <c r="H42" s="8"/>
    </row>
    <row r="43" spans="1:8" ht="17.25" customHeight="1" x14ac:dyDescent="0.3">
      <c r="A43" s="9"/>
      <c r="H43" s="8"/>
    </row>
    <row r="44" spans="1:8" ht="17.25" customHeight="1" x14ac:dyDescent="0.3">
      <c r="A44" s="11"/>
      <c r="B44" s="12"/>
      <c r="C44" s="12"/>
      <c r="D44" s="12"/>
      <c r="E44" s="12"/>
      <c r="F44" s="12"/>
      <c r="G44" s="12"/>
      <c r="H44" s="13"/>
    </row>
    <row r="45" spans="1:8" ht="17.25" customHeight="1" x14ac:dyDescent="0.3"/>
    <row r="46" spans="1:8" ht="17.25" customHeight="1" x14ac:dyDescent="0.3"/>
  </sheetData>
  <mergeCells count="5">
    <mergeCell ref="B20:G20"/>
    <mergeCell ref="C18:F19"/>
    <mergeCell ref="C10:F11"/>
    <mergeCell ref="C37:F38"/>
    <mergeCell ref="C39:F40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C6D45-EBBC-4990-BD29-2B7B7610ADFB}">
  <sheetPr codeName="Sheet2"/>
  <dimension ref="A1:H38"/>
  <sheetViews>
    <sheetView topLeftCell="A21" zoomScaleNormal="100" workbookViewId="0">
      <selection activeCell="M15" sqref="M15"/>
    </sheetView>
  </sheetViews>
  <sheetFormatPr defaultRowHeight="16.5" x14ac:dyDescent="0.3"/>
  <cols>
    <col min="1" max="1" width="8.625" style="1" customWidth="1"/>
    <col min="2" max="5" width="11.625" style="1" customWidth="1"/>
    <col min="6" max="6" width="11.75" style="1" customWidth="1"/>
    <col min="7" max="7" width="11.625" style="1" customWidth="1"/>
    <col min="8" max="8" width="8.625" style="1" customWidth="1"/>
  </cols>
  <sheetData>
    <row r="1" spans="1:8" ht="17.25" customHeight="1" x14ac:dyDescent="0.3">
      <c r="G1"/>
      <c r="H1"/>
    </row>
    <row r="2" spans="1:8" ht="17.25" customHeight="1" x14ac:dyDescent="0.3">
      <c r="G2"/>
      <c r="H2"/>
    </row>
    <row r="3" spans="1:8" ht="17.25" customHeight="1" x14ac:dyDescent="0.3">
      <c r="A3" s="106" t="s">
        <v>66</v>
      </c>
      <c r="B3" s="102" t="s">
        <v>9</v>
      </c>
      <c r="C3" s="102"/>
      <c r="D3" s="102"/>
      <c r="E3" s="15"/>
    </row>
    <row r="4" spans="1:8" ht="17.25" customHeight="1" thickBot="1" x14ac:dyDescent="0.35">
      <c r="A4" s="107"/>
      <c r="B4" s="103"/>
      <c r="C4" s="103"/>
      <c r="D4" s="103"/>
      <c r="E4" s="15"/>
      <c r="F4" s="2"/>
      <c r="G4" s="2"/>
    </row>
    <row r="5" spans="1:8" ht="24.95" customHeight="1" x14ac:dyDescent="0.3"/>
    <row r="6" spans="1:8" ht="17.25" customHeight="1" x14ac:dyDescent="0.3">
      <c r="A6" s="120" t="s">
        <v>31</v>
      </c>
      <c r="B6" s="98"/>
      <c r="C6" s="98"/>
      <c r="D6"/>
      <c r="E6"/>
      <c r="F6"/>
      <c r="G6"/>
      <c r="H6" s="48" t="e" vm="3">
        <v>#VALUE!</v>
      </c>
    </row>
    <row r="7" spans="1:8" ht="5.0999999999999996" customHeight="1" x14ac:dyDescent="0.3">
      <c r="A7" s="80" t="s">
        <v>61</v>
      </c>
      <c r="B7"/>
      <c r="C7"/>
      <c r="D7"/>
      <c r="E7"/>
      <c r="F7"/>
      <c r="G7"/>
      <c r="H7"/>
    </row>
    <row r="8" spans="1:8" ht="17.25" customHeight="1" x14ac:dyDescent="0.3">
      <c r="A8" s="110" t="s">
        <v>8</v>
      </c>
      <c r="B8" s="111"/>
      <c r="C8" s="111" t="s">
        <v>2</v>
      </c>
      <c r="D8" s="111"/>
      <c r="E8" s="111" t="s">
        <v>1</v>
      </c>
      <c r="F8" s="111"/>
      <c r="G8" s="111" t="s">
        <v>3</v>
      </c>
      <c r="H8" s="112"/>
    </row>
    <row r="9" spans="1:8" ht="17.25" customHeight="1" x14ac:dyDescent="0.3">
      <c r="A9" s="113" t="s">
        <v>72</v>
      </c>
      <c r="B9" s="114"/>
      <c r="C9" s="104">
        <f>'1. 네이버_진행내역'!F43</f>
        <v>213</v>
      </c>
      <c r="D9" s="104"/>
      <c r="E9" s="118">
        <f>'1. 네이버_진행내역'!E43</f>
        <v>2151</v>
      </c>
      <c r="F9" s="118"/>
      <c r="G9" s="104">
        <f>'1. 네이버_진행내역'!G43</f>
        <v>24</v>
      </c>
      <c r="H9" s="104"/>
    </row>
    <row r="10" spans="1:8" ht="17.25" customHeight="1" x14ac:dyDescent="0.3">
      <c r="A10" s="115"/>
      <c r="B10" s="116"/>
      <c r="C10" s="105"/>
      <c r="D10" s="105"/>
      <c r="E10" s="119"/>
      <c r="F10" s="119"/>
      <c r="G10" s="105"/>
      <c r="H10" s="105"/>
    </row>
    <row r="11" spans="1:8" ht="17.25" customHeight="1" x14ac:dyDescent="0.3">
      <c r="A11"/>
      <c r="B11"/>
      <c r="C11"/>
      <c r="D11"/>
      <c r="E11"/>
      <c r="F11"/>
      <c r="G11"/>
      <c r="H11"/>
    </row>
    <row r="12" spans="1:8" ht="17.25" customHeight="1" x14ac:dyDescent="0.3">
      <c r="A12" s="98" t="s">
        <v>20</v>
      </c>
      <c r="B12" s="98"/>
      <c r="C12" s="98"/>
    </row>
    <row r="13" spans="1:8" ht="5.0999999999999996" customHeight="1" x14ac:dyDescent="0.3"/>
    <row r="14" spans="1:8" ht="17.25" customHeight="1" x14ac:dyDescent="0.3">
      <c r="A14" s="16"/>
      <c r="B14" s="108" t="s">
        <v>1</v>
      </c>
      <c r="C14" s="108"/>
      <c r="D14" s="108" t="s">
        <v>2</v>
      </c>
      <c r="E14" s="108"/>
      <c r="F14" s="108" t="s">
        <v>3</v>
      </c>
      <c r="G14" s="108"/>
      <c r="H14" s="17"/>
    </row>
    <row r="15" spans="1:8" ht="35.1" customHeight="1" x14ac:dyDescent="0.3">
      <c r="A15" s="12"/>
      <c r="B15" s="109">
        <f>(F20-E20)/F20</f>
        <v>-0.23105532310553231</v>
      </c>
      <c r="C15" s="109"/>
      <c r="D15" s="109">
        <f>(F21-E21)/F21</f>
        <v>4.6948356807511738E-3</v>
      </c>
      <c r="E15" s="109"/>
      <c r="F15" s="109">
        <f>(F22-E22)/F22</f>
        <v>-0.79166666666666663</v>
      </c>
      <c r="G15" s="109"/>
      <c r="H15" s="12"/>
    </row>
    <row r="16" spans="1:8" ht="17.25" customHeight="1" x14ac:dyDescent="0.3">
      <c r="A16"/>
      <c r="B16"/>
      <c r="C16"/>
      <c r="D16"/>
      <c r="E16"/>
      <c r="F16"/>
      <c r="G16"/>
      <c r="H16"/>
    </row>
    <row r="17" spans="1:8" x14ac:dyDescent="0.2">
      <c r="A17" s="98" t="s">
        <v>83</v>
      </c>
      <c r="B17" s="98"/>
      <c r="C17" s="98"/>
      <c r="D17" s="4"/>
      <c r="E17" s="4"/>
      <c r="F17" s="4"/>
      <c r="G17" s="4"/>
      <c r="H17" s="14"/>
    </row>
    <row r="18" spans="1:8" ht="5.0999999999999996" customHeight="1" x14ac:dyDescent="0.25">
      <c r="A18" s="121"/>
      <c r="B18" s="121"/>
      <c r="C18" s="121"/>
      <c r="D18" s="18"/>
      <c r="E18" s="3"/>
      <c r="H18" s="14"/>
    </row>
    <row r="19" spans="1:8" ht="17.25" thickBot="1" x14ac:dyDescent="0.35">
      <c r="A19" s="19" t="s">
        <v>6</v>
      </c>
      <c r="B19" s="19" t="s">
        <v>55</v>
      </c>
      <c r="C19" s="19" t="s">
        <v>56</v>
      </c>
      <c r="D19" s="19" t="s">
        <v>57</v>
      </c>
      <c r="E19" s="19" t="s">
        <v>65</v>
      </c>
      <c r="F19" s="19" t="s">
        <v>66</v>
      </c>
      <c r="G19" s="19" t="s">
        <v>70</v>
      </c>
      <c r="H19" s="19" t="s">
        <v>7</v>
      </c>
    </row>
    <row r="20" spans="1:8" ht="17.25" thickTop="1" x14ac:dyDescent="0.3">
      <c r="A20" s="5" t="s">
        <v>1</v>
      </c>
      <c r="B20" s="44" t="s">
        <v>82</v>
      </c>
      <c r="C20" s="44">
        <v>1059</v>
      </c>
      <c r="D20" s="44">
        <v>1437</v>
      </c>
      <c r="E20" s="44">
        <v>2648</v>
      </c>
      <c r="F20" s="44">
        <v>2151</v>
      </c>
      <c r="G20" s="44"/>
      <c r="H20" s="45">
        <f>SUM(B20:G20)</f>
        <v>7295</v>
      </c>
    </row>
    <row r="21" spans="1:8" x14ac:dyDescent="0.3">
      <c r="A21" s="5" t="s">
        <v>2</v>
      </c>
      <c r="B21" s="44">
        <v>196</v>
      </c>
      <c r="C21" s="44">
        <v>124</v>
      </c>
      <c r="D21" s="44">
        <v>176</v>
      </c>
      <c r="E21" s="44">
        <v>212</v>
      </c>
      <c r="F21" s="44">
        <v>213</v>
      </c>
      <c r="G21" s="44"/>
      <c r="H21" s="45">
        <f t="shared" ref="H21:H22" si="0">SUM(B21:G21)</f>
        <v>921</v>
      </c>
    </row>
    <row r="22" spans="1:8" x14ac:dyDescent="0.3">
      <c r="A22" s="20" t="s">
        <v>3</v>
      </c>
      <c r="B22" s="46">
        <v>28</v>
      </c>
      <c r="C22" s="46">
        <v>7</v>
      </c>
      <c r="D22" s="46">
        <v>43</v>
      </c>
      <c r="E22" s="46">
        <v>43</v>
      </c>
      <c r="F22" s="46">
        <v>24</v>
      </c>
      <c r="G22" s="46"/>
      <c r="H22" s="47">
        <f t="shared" si="0"/>
        <v>145</v>
      </c>
    </row>
    <row r="23" spans="1:8" x14ac:dyDescent="0.3">
      <c r="A23" s="35"/>
      <c r="B23" s="35"/>
      <c r="C23" s="35"/>
      <c r="D23" s="35"/>
      <c r="E23" s="35"/>
      <c r="F23" s="35"/>
      <c r="G23"/>
      <c r="H23" s="35"/>
    </row>
    <row r="24" spans="1:8" x14ac:dyDescent="0.3">
      <c r="A24" s="98" t="s">
        <v>51</v>
      </c>
      <c r="B24" s="98"/>
      <c r="C24" s="98"/>
      <c r="D24" s="98"/>
      <c r="E24" s="117" t="s">
        <v>19</v>
      </c>
      <c r="F24" s="98"/>
      <c r="G24" s="98"/>
      <c r="H24" s="98"/>
    </row>
    <row r="25" spans="1:8" ht="24.95" customHeight="1" x14ac:dyDescent="0.3">
      <c r="A25" s="100" t="s">
        <v>118</v>
      </c>
      <c r="B25" s="100"/>
      <c r="C25" s="100"/>
      <c r="D25" s="101"/>
      <c r="E25" s="99" t="s">
        <v>68</v>
      </c>
      <c r="F25" s="100"/>
      <c r="G25" s="100"/>
      <c r="H25" s="100"/>
    </row>
    <row r="26" spans="1:8" ht="24.95" customHeight="1" x14ac:dyDescent="0.3">
      <c r="A26" s="100" t="s">
        <v>119</v>
      </c>
      <c r="B26" s="100"/>
      <c r="C26" s="100"/>
      <c r="D26" s="101"/>
      <c r="E26" s="99" t="s">
        <v>69</v>
      </c>
      <c r="F26" s="100"/>
      <c r="G26" s="100"/>
      <c r="H26" s="100"/>
    </row>
    <row r="27" spans="1:8" ht="24.95" customHeight="1" x14ac:dyDescent="0.3">
      <c r="A27" s="100" t="s">
        <v>120</v>
      </c>
      <c r="B27" s="100"/>
      <c r="C27" s="100"/>
      <c r="D27" s="101"/>
      <c r="E27" s="99" t="s">
        <v>73</v>
      </c>
      <c r="F27" s="100"/>
      <c r="G27" s="100"/>
      <c r="H27" s="100"/>
    </row>
    <row r="28" spans="1:8" ht="24.95" customHeight="1" x14ac:dyDescent="0.3">
      <c r="A28" s="100" t="s">
        <v>121</v>
      </c>
      <c r="B28" s="100"/>
      <c r="C28" s="100"/>
      <c r="D28" s="101"/>
      <c r="E28" s="99"/>
      <c r="F28" s="100"/>
      <c r="G28" s="100"/>
      <c r="H28" s="100"/>
    </row>
    <row r="29" spans="1:8" x14ac:dyDescent="0.3">
      <c r="F29"/>
      <c r="G29"/>
      <c r="H29"/>
    </row>
    <row r="30" spans="1:8" x14ac:dyDescent="0.3">
      <c r="A30" s="98" t="s">
        <v>84</v>
      </c>
      <c r="B30" s="98"/>
      <c r="C30" s="98"/>
      <c r="F30"/>
      <c r="G30"/>
      <c r="H30"/>
    </row>
    <row r="31" spans="1:8" x14ac:dyDescent="0.3">
      <c r="F31"/>
      <c r="G31"/>
      <c r="H31"/>
    </row>
    <row r="32" spans="1:8" x14ac:dyDescent="0.3">
      <c r="F32"/>
      <c r="G32"/>
      <c r="H32"/>
    </row>
    <row r="33" spans="1:8" x14ac:dyDescent="0.3">
      <c r="F33"/>
      <c r="G33"/>
      <c r="H33"/>
    </row>
    <row r="34" spans="1:8" x14ac:dyDescent="0.3">
      <c r="F34"/>
      <c r="G34"/>
      <c r="H34"/>
    </row>
    <row r="35" spans="1:8" x14ac:dyDescent="0.3">
      <c r="F35"/>
      <c r="G35"/>
      <c r="H35"/>
    </row>
    <row r="36" spans="1:8" x14ac:dyDescent="0.3">
      <c r="F36" s="43"/>
      <c r="G36" s="43"/>
      <c r="H36" s="43"/>
    </row>
    <row r="38" spans="1:8" x14ac:dyDescent="0.3">
      <c r="A38" s="98" t="s">
        <v>85</v>
      </c>
      <c r="B38" s="98"/>
      <c r="C38" s="98"/>
    </row>
  </sheetData>
  <mergeCells count="32">
    <mergeCell ref="E9:F10"/>
    <mergeCell ref="A6:C6"/>
    <mergeCell ref="A17:C17"/>
    <mergeCell ref="A18:C18"/>
    <mergeCell ref="A12:C12"/>
    <mergeCell ref="B14:C14"/>
    <mergeCell ref="D14:E14"/>
    <mergeCell ref="B3:D4"/>
    <mergeCell ref="A30:C30"/>
    <mergeCell ref="A38:C38"/>
    <mergeCell ref="G9:H10"/>
    <mergeCell ref="A3:A4"/>
    <mergeCell ref="F14:G14"/>
    <mergeCell ref="B15:C15"/>
    <mergeCell ref="D15:E15"/>
    <mergeCell ref="F15:G15"/>
    <mergeCell ref="A8:B8"/>
    <mergeCell ref="C8:D8"/>
    <mergeCell ref="E8:F8"/>
    <mergeCell ref="G8:H8"/>
    <mergeCell ref="A9:B10"/>
    <mergeCell ref="C9:D10"/>
    <mergeCell ref="E24:H24"/>
    <mergeCell ref="A24:D24"/>
    <mergeCell ref="E26:H26"/>
    <mergeCell ref="E27:H27"/>
    <mergeCell ref="E25:H25"/>
    <mergeCell ref="E28:H28"/>
    <mergeCell ref="A25:D25"/>
    <mergeCell ref="A26:D26"/>
    <mergeCell ref="A27:D27"/>
    <mergeCell ref="A28:D28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orientation="portrait" r:id="rId1"/>
  <headerFooter>
    <oddHeader>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DF693-9E24-4E52-B7BB-EA9FB1B8F593}">
  <sheetPr codeName="Sheet3"/>
  <dimension ref="A1:L49"/>
  <sheetViews>
    <sheetView zoomScale="85" zoomScaleNormal="85" zoomScaleSheetLayoutView="85" workbookViewId="0">
      <selection activeCell="D20" sqref="D20"/>
    </sheetView>
  </sheetViews>
  <sheetFormatPr defaultRowHeight="16.5" x14ac:dyDescent="0.3"/>
  <cols>
    <col min="1" max="1" width="3.5" style="1" customWidth="1"/>
    <col min="2" max="2" width="11.625" style="1" customWidth="1"/>
    <col min="3" max="3" width="30.625" style="1" customWidth="1"/>
    <col min="4" max="4" width="45.625" style="1" customWidth="1"/>
    <col min="5" max="7" width="7.625" style="1" customWidth="1"/>
    <col min="8" max="8" width="3.625" customWidth="1"/>
    <col min="9" max="9" width="2.125" customWidth="1"/>
    <col min="10" max="10" width="5.125" customWidth="1"/>
    <col min="11" max="11" width="32.25" customWidth="1"/>
    <col min="12" max="12" width="15.625" style="1" customWidth="1"/>
  </cols>
  <sheetData>
    <row r="1" spans="1:12" ht="17.25" customHeight="1" x14ac:dyDescent="0.3">
      <c r="E1"/>
      <c r="F1"/>
      <c r="G1"/>
    </row>
    <row r="2" spans="1:12" ht="17.25" customHeight="1" x14ac:dyDescent="0.45">
      <c r="A2" s="30"/>
      <c r="B2" s="31"/>
      <c r="C2" s="31"/>
      <c r="D2" s="63"/>
      <c r="E2"/>
      <c r="F2"/>
      <c r="G2"/>
    </row>
    <row r="3" spans="1:12" ht="12.75" customHeight="1" x14ac:dyDescent="0.2">
      <c r="F3" s="21"/>
    </row>
    <row r="4" spans="1:12" ht="40.5" customHeight="1" x14ac:dyDescent="0.3">
      <c r="A4" s="124" t="s">
        <v>86</v>
      </c>
      <c r="B4" s="124"/>
      <c r="C4" s="124"/>
      <c r="D4" s="124"/>
      <c r="E4" s="124"/>
      <c r="F4" s="124"/>
      <c r="G4" s="124"/>
      <c r="H4" s="124"/>
      <c r="J4" s="122" t="s">
        <v>32</v>
      </c>
      <c r="K4" s="122"/>
      <c r="L4" s="122"/>
    </row>
    <row r="5" spans="1:12" ht="5.25" customHeight="1" thickBot="1" x14ac:dyDescent="0.35">
      <c r="A5" s="32"/>
      <c r="B5" s="32"/>
      <c r="C5" s="32"/>
      <c r="D5" s="32"/>
      <c r="E5" s="32"/>
      <c r="F5" s="32"/>
      <c r="G5" s="32"/>
      <c r="H5" s="32"/>
    </row>
    <row r="6" spans="1:12" ht="27" customHeight="1" thickTop="1" thickBot="1" x14ac:dyDescent="0.35">
      <c r="A6" s="33" t="s">
        <v>10</v>
      </c>
      <c r="B6" s="34" t="s">
        <v>0</v>
      </c>
      <c r="C6" s="34" t="s">
        <v>11</v>
      </c>
      <c r="D6" s="34" t="s">
        <v>12</v>
      </c>
      <c r="E6" s="34" t="s">
        <v>1</v>
      </c>
      <c r="F6" s="34" t="s">
        <v>2</v>
      </c>
      <c r="G6" s="34" t="s">
        <v>14</v>
      </c>
      <c r="H6" s="34" t="s">
        <v>13</v>
      </c>
      <c r="J6" s="123" t="s">
        <v>24</v>
      </c>
      <c r="K6" s="123"/>
      <c r="L6" s="34" t="s">
        <v>25</v>
      </c>
    </row>
    <row r="7" spans="1:12" ht="5.25" customHeight="1" thickTop="1" x14ac:dyDescent="0.3">
      <c r="A7" s="80" t="s">
        <v>61</v>
      </c>
      <c r="B7" s="23"/>
      <c r="C7" s="23"/>
      <c r="D7" s="23"/>
      <c r="E7" s="23"/>
      <c r="F7" s="23"/>
      <c r="G7" s="23"/>
      <c r="H7" s="23"/>
    </row>
    <row r="8" spans="1:12" ht="24.95" customHeight="1" x14ac:dyDescent="0.3">
      <c r="A8" s="24">
        <v>1</v>
      </c>
      <c r="B8" s="24" t="str" cm="1">
        <f t="array" ref="B8">IF(C8&lt;&gt;"", IFERROR(IF(INDEX($K$8:$K$14, MATCH(TRUE, ISNUMBER(SEARCH($L$8:$L$14, C8)), 0))=0, "ERROR", INDEX($K$8:$K$14, MATCH(TRUE, ISNUMBER(SEARCH($L$8:$L$14, C8)), 0))), "ERROR"), "")</f>
        <v>여우야</v>
      </c>
      <c r="C8" s="82" t="s">
        <v>88</v>
      </c>
      <c r="D8" s="88" t="s">
        <v>103</v>
      </c>
      <c r="E8" s="56">
        <v>134</v>
      </c>
      <c r="F8" s="56">
        <v>16</v>
      </c>
      <c r="G8" s="56"/>
      <c r="H8" s="50"/>
      <c r="J8" s="2">
        <v>1</v>
      </c>
      <c r="K8" s="1" t="s">
        <v>4</v>
      </c>
      <c r="L8" s="1" t="s">
        <v>26</v>
      </c>
    </row>
    <row r="9" spans="1:12" ht="24.95" customHeight="1" x14ac:dyDescent="0.3">
      <c r="A9" s="24">
        <v>2</v>
      </c>
      <c r="B9" s="24" t="str" cm="1">
        <f t="array" ref="B9">IF(C9&lt;&gt;"", IFERROR(IF(INDEX($K$8:$K$14, MATCH(TRUE, ISNUMBER(SEARCH($L$8:$L$14, C9)), 0))=0, "ERROR", INDEX($K$8:$K$14, MATCH(TRUE, ISNUMBER(SEARCH($L$8:$L$14, C9)), 0))), "ERROR"), "")</f>
        <v>여우야</v>
      </c>
      <c r="C9" s="82" t="s">
        <v>89</v>
      </c>
      <c r="D9" s="89" t="s">
        <v>104</v>
      </c>
      <c r="E9" s="56">
        <v>218</v>
      </c>
      <c r="F9" s="56">
        <v>9</v>
      </c>
      <c r="G9" s="56"/>
      <c r="H9" s="50"/>
      <c r="J9" s="2">
        <v>2</v>
      </c>
      <c r="K9" s="1" t="s">
        <v>23</v>
      </c>
      <c r="L9" s="1" t="s">
        <v>29</v>
      </c>
    </row>
    <row r="10" spans="1:12" ht="24.95" customHeight="1" x14ac:dyDescent="0.3">
      <c r="A10" s="24">
        <v>3</v>
      </c>
      <c r="B10" s="24" t="str" cm="1">
        <f t="array" ref="B10">IF(C10&lt;&gt;"", IFERROR(IF(INDEX($K$8:$K$14, MATCH(TRUE, ISNUMBER(SEARCH($L$8:$L$14, C10)), 0))=0, "ERROR", INDEX($K$8:$K$14, MATCH(TRUE, ISNUMBER(SEARCH($L$8:$L$14, C10)), 0))), "ERROR"), "")</f>
        <v>여우야</v>
      </c>
      <c r="C10" s="82" t="s">
        <v>90</v>
      </c>
      <c r="D10" s="88" t="s">
        <v>105</v>
      </c>
      <c r="E10" s="56">
        <v>215</v>
      </c>
      <c r="F10" s="56">
        <v>22</v>
      </c>
      <c r="G10" s="56"/>
      <c r="H10" s="50"/>
      <c r="J10" s="2">
        <v>3</v>
      </c>
      <c r="K10" s="1" t="s">
        <v>15</v>
      </c>
      <c r="L10" s="1" t="s">
        <v>28</v>
      </c>
    </row>
    <row r="11" spans="1:12" ht="24.95" customHeight="1" x14ac:dyDescent="0.3">
      <c r="A11" s="24">
        <v>4</v>
      </c>
      <c r="B11" s="24" t="str" cm="1">
        <f t="array" ref="B11">IF(C11&lt;&gt;"", IFERROR(IF(INDEX($K$8:$K$14, MATCH(TRUE, ISNUMBER(SEARCH($L$8:$L$14, C11)), 0))=0, "ERROR", INDEX($K$8:$K$14, MATCH(TRUE, ISNUMBER(SEARCH($L$8:$L$14, C11)), 0))), "ERROR"), "")</f>
        <v>여우야</v>
      </c>
      <c r="C11" s="82" t="s">
        <v>91</v>
      </c>
      <c r="D11" s="163" t="s">
        <v>106</v>
      </c>
      <c r="E11" s="56">
        <v>134</v>
      </c>
      <c r="F11" s="56">
        <v>13</v>
      </c>
      <c r="G11" s="56"/>
      <c r="H11" s="50"/>
      <c r="J11" s="2">
        <v>4</v>
      </c>
      <c r="K11" s="1" t="s">
        <v>5</v>
      </c>
      <c r="L11" s="1" t="s">
        <v>27</v>
      </c>
    </row>
    <row r="12" spans="1:12" ht="24.95" customHeight="1" x14ac:dyDescent="0.3">
      <c r="A12" s="24">
        <v>5</v>
      </c>
      <c r="B12" s="24" t="str" cm="1">
        <f t="array" ref="B12">IF(C12&lt;&gt;"", IFERROR(IF(INDEX($K$8:$K$14, MATCH(TRUE, ISNUMBER(SEARCH($L$8:$L$14, C12)), 0))=0, "ERROR", INDEX($K$8:$K$14, MATCH(TRUE, ISNUMBER(SEARCH($L$8:$L$14, C12)), 0))), "ERROR"), "")</f>
        <v>여우야</v>
      </c>
      <c r="C12" s="82" t="s">
        <v>92</v>
      </c>
      <c r="D12" s="89" t="s">
        <v>107</v>
      </c>
      <c r="E12" s="56">
        <v>185</v>
      </c>
      <c r="F12" s="56">
        <v>27</v>
      </c>
      <c r="G12" s="56"/>
      <c r="H12" s="50"/>
      <c r="J12" s="2">
        <v>5</v>
      </c>
      <c r="K12" s="1" t="s">
        <v>16</v>
      </c>
      <c r="L12" s="1" t="s">
        <v>30</v>
      </c>
    </row>
    <row r="13" spans="1:12" ht="24.95" customHeight="1" x14ac:dyDescent="0.3">
      <c r="A13" s="24">
        <v>6</v>
      </c>
      <c r="B13" s="24" t="str" cm="1">
        <f t="array" ref="B13">IF(C13&lt;&gt;"", IFERROR(IF(INDEX($K$8:$K$14, MATCH(TRUE, ISNUMBER(SEARCH($L$8:$L$14, C13)), 0))=0, "ERROR", INDEX($K$8:$K$14, MATCH(TRUE, ISNUMBER(SEARCH($L$8:$L$14, C13)), 0))), "ERROR"), "")</f>
        <v>여우야</v>
      </c>
      <c r="C13" s="82" t="s">
        <v>93</v>
      </c>
      <c r="D13" s="88" t="s">
        <v>108</v>
      </c>
      <c r="E13" s="57">
        <v>42</v>
      </c>
      <c r="F13" s="57">
        <v>1</v>
      </c>
      <c r="G13" s="56"/>
      <c r="H13" s="50"/>
      <c r="J13" s="2">
        <v>6</v>
      </c>
      <c r="K13" s="1" t="s">
        <v>33</v>
      </c>
      <c r="L13" s="1" t="s">
        <v>34</v>
      </c>
    </row>
    <row r="14" spans="1:12" ht="24.95" customHeight="1" x14ac:dyDescent="0.3">
      <c r="A14" s="24">
        <v>7</v>
      </c>
      <c r="B14" s="24" t="str" cm="1">
        <f t="array" ref="B14">IF(C14&lt;&gt;"", IFERROR(IF(INDEX($K$8:$K$14, MATCH(TRUE, ISNUMBER(SEARCH($L$8:$L$14, C14)), 0))=0, "ERROR", INDEX($K$8:$K$14, MATCH(TRUE, ISNUMBER(SEARCH($L$8:$L$14, C14)), 0))), "ERROR"), "")</f>
        <v>여우야</v>
      </c>
      <c r="C14" s="82" t="s">
        <v>94</v>
      </c>
      <c r="D14" s="89" t="s">
        <v>109</v>
      </c>
      <c r="E14" s="57">
        <v>174</v>
      </c>
      <c r="F14" s="57">
        <v>22</v>
      </c>
      <c r="G14" s="56"/>
      <c r="H14" s="50"/>
      <c r="J14" s="2">
        <v>7</v>
      </c>
      <c r="K14" s="1" t="s">
        <v>35</v>
      </c>
      <c r="L14" s="1" t="s">
        <v>36</v>
      </c>
    </row>
    <row r="15" spans="1:12" ht="24.95" customHeight="1" x14ac:dyDescent="0.3">
      <c r="A15" s="24">
        <v>8</v>
      </c>
      <c r="B15" s="24" t="str" cm="1">
        <f t="array" ref="B15">IF(C15&lt;&gt;"", IFERROR(IF(INDEX($K$8:$K$14, MATCH(TRUE, ISNUMBER(SEARCH($L$8:$L$14, C15)), 0))=0, "ERROR", INDEX($K$8:$K$14, MATCH(TRUE, ISNUMBER(SEARCH($L$8:$L$14, C15)), 0))), "ERROR"), "")</f>
        <v>여우야</v>
      </c>
      <c r="C15" s="82" t="s">
        <v>95</v>
      </c>
      <c r="D15" s="88" t="s">
        <v>110</v>
      </c>
      <c r="E15" s="54">
        <v>128</v>
      </c>
      <c r="F15" s="54">
        <v>12</v>
      </c>
      <c r="G15" s="55">
        <v>5</v>
      </c>
      <c r="H15" s="50"/>
      <c r="J15" s="2">
        <v>8</v>
      </c>
    </row>
    <row r="16" spans="1:12" ht="24.95" customHeight="1" x14ac:dyDescent="0.3">
      <c r="A16" s="24">
        <v>9</v>
      </c>
      <c r="B16" s="24" t="str" cm="1">
        <f t="array" ref="B16">IF(C16&lt;&gt;"", IFERROR(IF(INDEX($K$8:$K$14, MATCH(TRUE, ISNUMBER(SEARCH($L$8:$L$14, C16)), 0))=0, "ERROR", INDEX($K$8:$K$14, MATCH(TRUE, ISNUMBER(SEARCH($L$8:$L$14, C16)), 0))), "ERROR"), "")</f>
        <v>여우야</v>
      </c>
      <c r="C16" s="82" t="s">
        <v>96</v>
      </c>
      <c r="D16" s="161" t="s">
        <v>111</v>
      </c>
      <c r="E16" s="26">
        <v>144</v>
      </c>
      <c r="F16" s="26">
        <v>10</v>
      </c>
      <c r="G16" s="25">
        <v>4</v>
      </c>
      <c r="H16" s="50"/>
      <c r="J16" s="2">
        <v>9</v>
      </c>
    </row>
    <row r="17" spans="1:10" ht="24.95" customHeight="1" x14ac:dyDescent="0.3">
      <c r="A17" s="24">
        <v>10</v>
      </c>
      <c r="B17" s="24" t="str" cm="1">
        <f t="array" ref="B17">IF(C17&lt;&gt;"", IFERROR(IF(INDEX($K$8:$K$14, MATCH(TRUE, ISNUMBER(SEARCH($L$8:$L$14, C17)), 0))=0, "ERROR", INDEX($K$8:$K$14, MATCH(TRUE, ISNUMBER(SEARCH($L$8:$L$14, C17)), 0))), "ERROR"), "")</f>
        <v>여우야</v>
      </c>
      <c r="C17" s="82" t="s">
        <v>97</v>
      </c>
      <c r="D17" s="161" t="s">
        <v>112</v>
      </c>
      <c r="E17" s="54">
        <v>204</v>
      </c>
      <c r="F17" s="54">
        <v>34</v>
      </c>
      <c r="G17" s="56">
        <v>8</v>
      </c>
      <c r="H17" s="49"/>
      <c r="J17" s="2">
        <v>10</v>
      </c>
    </row>
    <row r="18" spans="1:10" ht="24.95" customHeight="1" x14ac:dyDescent="0.3">
      <c r="A18" s="24">
        <v>11</v>
      </c>
      <c r="B18" s="24" t="str" cm="1">
        <f t="array" ref="B18">IF(C18&lt;&gt;"", IFERROR(IF(INDEX($K$8:$K$14, MATCH(TRUE, ISNUMBER(SEARCH($L$8:$L$14, C18)), 0))=0, "ERROR", INDEX($K$8:$K$14, MATCH(TRUE, ISNUMBER(SEARCH($L$8:$L$14, C18)), 0))), "ERROR"), "")</f>
        <v>가아사</v>
      </c>
      <c r="C18" s="83" t="s">
        <v>98</v>
      </c>
      <c r="D18" s="161" t="s">
        <v>113</v>
      </c>
      <c r="E18" s="57">
        <v>66</v>
      </c>
      <c r="F18" s="57">
        <v>10</v>
      </c>
      <c r="G18" s="56">
        <v>4</v>
      </c>
      <c r="H18" s="50"/>
    </row>
    <row r="19" spans="1:10" ht="24.95" customHeight="1" x14ac:dyDescent="0.3">
      <c r="A19" s="24">
        <v>12</v>
      </c>
      <c r="B19" s="24" t="str" cm="1">
        <f t="array" ref="B19">IF(C19&lt;&gt;"", IFERROR(IF(INDEX($K$8:$K$14, MATCH(TRUE, ISNUMBER(SEARCH($L$8:$L$14, C19)), 0))=0, "ERROR", INDEX($K$8:$K$14, MATCH(TRUE, ISNUMBER(SEARCH($L$8:$L$14, C19)), 0))), "ERROR"), "")</f>
        <v>여우야</v>
      </c>
      <c r="C19" s="82" t="s">
        <v>99</v>
      </c>
      <c r="D19" s="161" t="s">
        <v>114</v>
      </c>
      <c r="E19" s="57">
        <v>255</v>
      </c>
      <c r="F19" s="57">
        <v>10</v>
      </c>
      <c r="G19" s="56">
        <v>1</v>
      </c>
      <c r="H19" s="50"/>
    </row>
    <row r="20" spans="1:10" ht="24.95" customHeight="1" x14ac:dyDescent="0.3">
      <c r="A20" s="24">
        <v>13</v>
      </c>
      <c r="B20" s="24" t="str" cm="1">
        <f t="array" ref="B20">IF(C20&lt;&gt;"", IFERROR(IF(INDEX($K$8:$K$14, MATCH(TRUE, ISNUMBER(SEARCH($L$8:$L$14, C20)), 0))=0, "ERROR", INDEX($K$8:$K$14, MATCH(TRUE, ISNUMBER(SEARCH($L$8:$L$14, C20)), 0))), "ERROR"), "")</f>
        <v>여우야</v>
      </c>
      <c r="C20" s="82" t="s">
        <v>100</v>
      </c>
      <c r="D20" s="161" t="s">
        <v>115</v>
      </c>
      <c r="E20" s="57">
        <v>89</v>
      </c>
      <c r="F20" s="57">
        <v>5</v>
      </c>
      <c r="G20" s="56"/>
      <c r="H20" s="50"/>
    </row>
    <row r="21" spans="1:10" ht="24.95" customHeight="1" x14ac:dyDescent="0.3">
      <c r="A21" s="24">
        <v>14</v>
      </c>
      <c r="B21" s="24" t="str" cm="1">
        <f t="array" ref="B21">IF(C21&lt;&gt;"", IFERROR(IF(INDEX($K$8:$K$14, MATCH(TRUE, ISNUMBER(SEARCH($L$8:$L$14, C21)), 0))=0, "ERROR", INDEX($K$8:$K$14, MATCH(TRUE, ISNUMBER(SEARCH($L$8:$L$14, C21)), 0))), "ERROR"), "")</f>
        <v>여우야</v>
      </c>
      <c r="C21" s="82" t="s">
        <v>101</v>
      </c>
      <c r="D21" s="164" t="s">
        <v>116</v>
      </c>
      <c r="E21" s="57">
        <v>107</v>
      </c>
      <c r="F21" s="57">
        <v>16</v>
      </c>
      <c r="G21" s="56">
        <v>1</v>
      </c>
      <c r="H21" s="50"/>
    </row>
    <row r="22" spans="1:10" ht="24.95" customHeight="1" x14ac:dyDescent="0.3">
      <c r="A22" s="24">
        <v>15</v>
      </c>
      <c r="B22" s="24" t="str" cm="1">
        <f t="array" ref="B22">IF(C22&lt;&gt;"", IFERROR(IF(INDEX($K$8:$K$14, MATCH(TRUE, ISNUMBER(SEARCH($L$8:$L$14, C22)), 0))=0, "ERROR", INDEX($K$8:$K$14, MATCH(TRUE, ISNUMBER(SEARCH($L$8:$L$14, C22)), 0))), "ERROR"), "")</f>
        <v>여우야</v>
      </c>
      <c r="C22" s="82" t="s">
        <v>102</v>
      </c>
      <c r="D22" s="161" t="s">
        <v>117</v>
      </c>
      <c r="E22" s="57">
        <v>56</v>
      </c>
      <c r="F22" s="57">
        <v>6</v>
      </c>
      <c r="G22" s="56">
        <v>1</v>
      </c>
      <c r="H22" s="50"/>
    </row>
    <row r="23" spans="1:10" ht="24.95" customHeight="1" x14ac:dyDescent="0.3">
      <c r="A23" s="24">
        <v>16</v>
      </c>
      <c r="B23" s="24"/>
      <c r="C23" s="82"/>
      <c r="D23" s="161"/>
      <c r="E23" s="57"/>
      <c r="F23" s="57"/>
      <c r="G23" s="56"/>
      <c r="H23" s="56"/>
    </row>
    <row r="24" spans="1:10" ht="24.95" customHeight="1" x14ac:dyDescent="0.3">
      <c r="A24" s="24">
        <v>17</v>
      </c>
      <c r="B24" s="24" t="str" cm="1">
        <f t="array" ref="B24">IF(C24&lt;&gt;"", IFERROR(IF(INDEX($K$8:$K$14, MATCH(TRUE, ISNUMBER(SEARCH($L$8:$L$14, C24)), 0))=0, "ERROR", INDEX($K$8:$K$14, MATCH(TRUE, ISNUMBER(SEARCH($L$8:$L$14, C24)), 0))), "ERROR"), "")</f>
        <v/>
      </c>
      <c r="C24" s="82"/>
      <c r="D24" s="161"/>
      <c r="E24" s="57"/>
      <c r="F24" s="57"/>
      <c r="G24" s="56"/>
      <c r="H24" s="56"/>
    </row>
    <row r="25" spans="1:10" ht="24.95" customHeight="1" x14ac:dyDescent="0.3">
      <c r="A25" s="24">
        <v>18</v>
      </c>
      <c r="B25" s="24" t="str" cm="1">
        <f t="array" ref="B25">IF(C25&lt;&gt;"", IFERROR(IF(INDEX($K$8:$K$14, MATCH(TRUE, ISNUMBER(SEARCH($L$8:$L$14, C25)), 0))=0, "ERROR", INDEX($K$8:$K$14, MATCH(TRUE, ISNUMBER(SEARCH($L$8:$L$14, C25)), 0))), "ERROR"), "")</f>
        <v/>
      </c>
      <c r="C25" s="82"/>
      <c r="D25" s="161"/>
      <c r="E25" s="57"/>
      <c r="F25" s="57"/>
      <c r="G25" s="56"/>
      <c r="H25" s="56"/>
    </row>
    <row r="26" spans="1:10" ht="24.95" customHeight="1" x14ac:dyDescent="0.3">
      <c r="A26" s="24">
        <v>19</v>
      </c>
      <c r="B26" s="24" t="str" cm="1">
        <f t="array" ref="B26">IF(C26&lt;&gt;"", IFERROR(IF(INDEX($K$8:$K$14, MATCH(TRUE, ISNUMBER(SEARCH($L$8:$L$14, C26)), 0))=0, "ERROR", INDEX($K$8:$K$14, MATCH(TRUE, ISNUMBER(SEARCH($L$8:$L$14, C26)), 0))), "ERROR"), "")</f>
        <v/>
      </c>
      <c r="C26" s="82"/>
      <c r="D26" s="162"/>
      <c r="E26" s="57"/>
      <c r="F26" s="57"/>
      <c r="G26" s="56"/>
      <c r="H26" s="56"/>
    </row>
    <row r="27" spans="1:10" ht="24.95" customHeight="1" x14ac:dyDescent="0.3">
      <c r="A27" s="25">
        <v>20</v>
      </c>
      <c r="B27" s="24" t="str" cm="1">
        <f t="array" ref="B27">IF(C27&lt;&gt;"", IFERROR(IF(INDEX($K$8:$K$14, MATCH(TRUE, ISNUMBER(SEARCH($L$8:$L$14, C27)), 0))=0, "ERROR", INDEX($K$8:$K$14, MATCH(TRUE, ISNUMBER(SEARCH($L$8:$L$14, C27)), 0))), "ERROR"), "")</f>
        <v/>
      </c>
      <c r="C27" s="82"/>
      <c r="D27" s="64"/>
      <c r="E27" s="57"/>
      <c r="F27" s="57"/>
      <c r="G27" s="56"/>
      <c r="H27" s="56"/>
    </row>
    <row r="28" spans="1:10" ht="24.95" customHeight="1" x14ac:dyDescent="0.3">
      <c r="A28" s="26">
        <v>21</v>
      </c>
      <c r="B28" s="24" t="str" cm="1">
        <f t="array" ref="B28">IF(C28&lt;&gt;"", IFERROR(IF(INDEX($K$8:$K$14, MATCH(TRUE, ISNUMBER(SEARCH($L$8:$L$14, C28)), 0))=0, "ERROR", INDEX($K$8:$K$14, MATCH(TRUE, ISNUMBER(SEARCH($L$8:$L$14, C28)), 0))), "ERROR"), "")</f>
        <v/>
      </c>
      <c r="C28" s="82"/>
      <c r="D28" s="26"/>
      <c r="E28" s="57"/>
      <c r="F28" s="56"/>
      <c r="G28" s="56"/>
      <c r="H28" s="56"/>
    </row>
    <row r="29" spans="1:10" ht="24.95" customHeight="1" x14ac:dyDescent="0.3">
      <c r="A29" s="25">
        <v>22</v>
      </c>
      <c r="B29" s="24" t="str" cm="1">
        <f t="array" ref="B29">IF(C29&lt;&gt;"", IFERROR(IF(INDEX($K$8:$K$18, MATCH(TRUE, ISNUMBER(SEARCH($L$8:$L$18, C29)), 0))=0, "ERROR", INDEX($K$8:$K$18, MATCH(TRUE, ISNUMBER(SEARCH($L$8:$L$18, C29)), 0))), "ERROR"), "")</f>
        <v/>
      </c>
      <c r="C29" s="82"/>
      <c r="D29" s="64"/>
      <c r="E29" s="57"/>
      <c r="F29" s="56"/>
      <c r="G29" s="56"/>
      <c r="H29" s="56"/>
    </row>
    <row r="30" spans="1:10" ht="24.95" customHeight="1" x14ac:dyDescent="0.3">
      <c r="A30" s="25">
        <v>23</v>
      </c>
      <c r="B30" s="24" t="str" cm="1">
        <f t="array" ref="B30">IF(C30&lt;&gt;"", IFERROR(IF(INDEX($K$8:$K$18, MATCH(TRUE, ISNUMBER(SEARCH($L$8:$L$18, C30)), 0))=0, "ERROR", INDEX($K$8:$K$18, MATCH(TRUE, ISNUMBER(SEARCH($L$8:$L$18, C30)), 0))), "ERROR"), "")</f>
        <v/>
      </c>
      <c r="C30" s="60"/>
      <c r="D30" s="26"/>
      <c r="E30" s="57"/>
      <c r="F30" s="56"/>
      <c r="G30" s="56"/>
      <c r="H30" s="56"/>
    </row>
    <row r="31" spans="1:10" ht="24.95" customHeight="1" x14ac:dyDescent="0.3">
      <c r="A31" s="25">
        <v>24</v>
      </c>
      <c r="B31" s="24" t="str" cm="1">
        <f t="array" ref="B31">IF(C31&lt;&gt;"", IFERROR(IF(INDEX($K$8:$K$18, MATCH(TRUE, ISNUMBER(SEARCH($L$8:$L$18, C31)), 0))=0, "ERROR", INDEX($K$8:$K$18, MATCH(TRUE, ISNUMBER(SEARCH($L$8:$L$18, C31)), 0))), "ERROR"), "")</f>
        <v/>
      </c>
      <c r="C31" s="61"/>
      <c r="D31" s="26"/>
      <c r="E31" s="57"/>
      <c r="F31" s="56"/>
      <c r="G31" s="56"/>
      <c r="H31" s="56"/>
    </row>
    <row r="32" spans="1:10" ht="24.95" customHeight="1" x14ac:dyDescent="0.3">
      <c r="A32" s="25">
        <v>25</v>
      </c>
      <c r="B32" s="24" t="str" cm="1">
        <f t="array" ref="B32">IF(C32&lt;&gt;"", IFERROR(IF(INDEX($K$8:$K$18, MATCH(TRUE, ISNUMBER(SEARCH($L$8:$L$18, C32)), 0))=0, "ERROR", INDEX($K$8:$K$18, MATCH(TRUE, ISNUMBER(SEARCH($L$8:$L$18, C32)), 0))), "ERROR"), "")</f>
        <v/>
      </c>
      <c r="C32" s="61"/>
      <c r="D32" s="64"/>
      <c r="E32" s="57"/>
      <c r="F32" s="56"/>
      <c r="G32" s="56"/>
      <c r="H32" s="56"/>
    </row>
    <row r="33" spans="1:8" ht="24.95" customHeight="1" x14ac:dyDescent="0.3">
      <c r="A33" s="26">
        <v>26</v>
      </c>
      <c r="B33" s="24" t="str" cm="1">
        <f t="array" ref="B33">IF(C33&lt;&gt;"", IFERROR(IF(INDEX($K$8:$K$18, MATCH(TRUE, ISNUMBER(SEARCH($L$8:$L$18, C33)), 0))=0, "ERROR", INDEX($K$8:$K$18, MATCH(TRUE, ISNUMBER(SEARCH($L$8:$L$18, C33)), 0))), "ERROR"), "")</f>
        <v/>
      </c>
      <c r="C33" s="60"/>
      <c r="D33" s="26"/>
      <c r="E33" s="57"/>
      <c r="F33" s="56"/>
      <c r="G33" s="56"/>
      <c r="H33" s="56"/>
    </row>
    <row r="34" spans="1:8" ht="24.95" customHeight="1" x14ac:dyDescent="0.3">
      <c r="A34" s="25">
        <v>27</v>
      </c>
      <c r="B34" s="24" t="str" cm="1">
        <f t="array" ref="B34">IF(C34&lt;&gt;"", IFERROR(IF(INDEX($K$8:$K$18, MATCH(TRUE, ISNUMBER(SEARCH($L$8:$L$18, C34)), 0))=0, "ERROR", INDEX($K$8:$K$18, MATCH(TRUE, ISNUMBER(SEARCH($L$8:$L$18, C34)), 0))), "ERROR"), "")</f>
        <v/>
      </c>
      <c r="C34" s="60"/>
      <c r="D34" s="64"/>
      <c r="E34" s="57"/>
      <c r="F34" s="56"/>
      <c r="G34" s="56"/>
      <c r="H34" s="56"/>
    </row>
    <row r="35" spans="1:8" ht="24.95" customHeight="1" x14ac:dyDescent="0.3">
      <c r="A35" s="25">
        <v>28</v>
      </c>
      <c r="B35" s="24" t="str" cm="1">
        <f t="array" ref="B35">IF(C35&lt;&gt;"", IFERROR(IF(INDEX($K$8:$K$18, MATCH(TRUE, ISNUMBER(SEARCH($L$8:$L$18, C35)), 0))=0, "ERROR", INDEX($K$8:$K$18, MATCH(TRUE, ISNUMBER(SEARCH($L$8:$L$18, C35)), 0))), "ERROR"), "")</f>
        <v/>
      </c>
      <c r="C35" s="61"/>
      <c r="D35" s="26"/>
      <c r="E35" s="57"/>
      <c r="F35" s="56"/>
      <c r="G35" s="56"/>
      <c r="H35" s="56"/>
    </row>
    <row r="36" spans="1:8" ht="24.95" customHeight="1" x14ac:dyDescent="0.3">
      <c r="A36" s="25">
        <v>29</v>
      </c>
      <c r="B36" s="24" t="str" cm="1">
        <f t="array" ref="B36">IF(C36&lt;&gt;"", IFERROR(IF(INDEX($K$8:$K$18, MATCH(TRUE, ISNUMBER(SEARCH($L$8:$L$18, C36)), 0))=0, "ERROR", INDEX($K$8:$K$18, MATCH(TRUE, ISNUMBER(SEARCH($L$8:$L$18, C36)), 0))), "ERROR"), "")</f>
        <v/>
      </c>
      <c r="C36" s="60"/>
      <c r="D36" s="64"/>
      <c r="E36" s="57"/>
      <c r="F36" s="56"/>
      <c r="G36" s="56"/>
      <c r="H36" s="56"/>
    </row>
    <row r="37" spans="1:8" ht="24.95" customHeight="1" x14ac:dyDescent="0.3">
      <c r="A37" s="25">
        <v>30</v>
      </c>
      <c r="B37" s="24" t="str" cm="1">
        <f t="array" ref="B37">IF(C37&lt;&gt;"", IFERROR(IF(INDEX($K$8:$K$18, MATCH(TRUE, ISNUMBER(SEARCH($L$8:$L$18, C37)), 0))=0, "ERROR", INDEX($K$8:$K$18, MATCH(TRUE, ISNUMBER(SEARCH($L$8:$L$18, C37)), 0))), "ERROR"), "")</f>
        <v/>
      </c>
      <c r="C37" s="60"/>
      <c r="D37" s="26"/>
      <c r="E37" s="56"/>
      <c r="F37" s="56"/>
      <c r="G37" s="56"/>
      <c r="H37" s="56"/>
    </row>
    <row r="38" spans="1:8" ht="24.95" customHeight="1" x14ac:dyDescent="0.3">
      <c r="A38" s="26">
        <v>31</v>
      </c>
      <c r="B38" s="24" t="str" cm="1">
        <f t="array" ref="B38">IF(C38&lt;&gt;"", IFERROR(IF(INDEX($K$8:$K$18, MATCH(TRUE, ISNUMBER(SEARCH($L$8:$L$18, C38)), 0))=0, "ERROR", INDEX($K$8:$K$18, MATCH(TRUE, ISNUMBER(SEARCH($L$8:$L$18, C38)), 0))), "ERROR"), "")</f>
        <v/>
      </c>
      <c r="C38" s="60"/>
      <c r="D38" s="26"/>
      <c r="E38" s="56"/>
      <c r="F38" s="56"/>
      <c r="G38" s="56"/>
      <c r="H38" s="56"/>
    </row>
    <row r="39" spans="1:8" ht="24.95" customHeight="1" x14ac:dyDescent="0.3">
      <c r="A39" s="25">
        <v>32</v>
      </c>
      <c r="B39" s="24" t="str" cm="1">
        <f t="array" ref="B39">IF(C39&lt;&gt;"", IFERROR(IF(INDEX($K$8:$K$18, MATCH(TRUE, ISNUMBER(SEARCH($L$8:$L$18, C39)), 0))=0, "ERROR", INDEX($K$8:$K$18, MATCH(TRUE, ISNUMBER(SEARCH($L$8:$L$18, C39)), 0))), "ERROR"), "")</f>
        <v/>
      </c>
      <c r="C39" s="60"/>
      <c r="D39" s="26"/>
      <c r="E39" s="56"/>
      <c r="F39" s="56"/>
      <c r="G39" s="56"/>
      <c r="H39" s="56"/>
    </row>
    <row r="40" spans="1:8" ht="24.95" customHeight="1" x14ac:dyDescent="0.3">
      <c r="A40" s="25">
        <v>33</v>
      </c>
      <c r="B40" s="24" t="str" cm="1">
        <f t="array" ref="B40">IF(C40&lt;&gt;"", IFERROR(IF(INDEX($K$8:$K$18, MATCH(TRUE, ISNUMBER(SEARCH($L$8:$L$18, C40)), 0))=0, "ERROR", INDEX($K$8:$K$18, MATCH(TRUE, ISNUMBER(SEARCH($L$8:$L$18, C40)), 0))), "ERROR"), "")</f>
        <v/>
      </c>
      <c r="C40" s="60"/>
      <c r="D40" s="26"/>
      <c r="E40" s="56"/>
      <c r="F40" s="56"/>
      <c r="G40" s="56"/>
      <c r="H40" s="56"/>
    </row>
    <row r="41" spans="1:8" ht="24.95" customHeight="1" x14ac:dyDescent="0.3">
      <c r="A41" s="25">
        <v>34</v>
      </c>
      <c r="B41" s="24" t="str" cm="1">
        <f t="array" ref="B41">IF(C41&lt;&gt;"", IFERROR(IF(INDEX($K$8:$K$18, MATCH(TRUE, ISNUMBER(SEARCH($L$8:$L$18, C41)), 0))=0, "ERROR", INDEX($K$8:$K$18, MATCH(TRUE, ISNUMBER(SEARCH($L$8:$L$18, C41)), 0))), "ERROR"), "")</f>
        <v/>
      </c>
      <c r="C41" s="61"/>
      <c r="D41" s="26"/>
      <c r="E41" s="56"/>
      <c r="F41" s="56"/>
      <c r="G41" s="56"/>
      <c r="H41" s="56"/>
    </row>
    <row r="42" spans="1:8" ht="24.95" customHeight="1" x14ac:dyDescent="0.3">
      <c r="A42" s="27">
        <v>35</v>
      </c>
      <c r="B42" s="24" t="str" cm="1">
        <f t="array" ref="B42">IF(C42&lt;&gt;"", IFERROR(IF(INDEX($K$8:$K$18, MATCH(TRUE, ISNUMBER(SEARCH($L$8:$L$18, C42)), 0))=0, "ERROR", INDEX($K$8:$K$18, MATCH(TRUE, ISNUMBER(SEARCH($L$8:$L$18, C42)), 0))), "ERROR"), "")</f>
        <v/>
      </c>
      <c r="C42" s="62"/>
      <c r="D42" s="26"/>
      <c r="E42" s="58"/>
      <c r="F42" s="58"/>
      <c r="G42" s="58"/>
      <c r="H42" s="58"/>
    </row>
    <row r="43" spans="1:8" ht="24.95" customHeight="1" thickBot="1" x14ac:dyDescent="0.35">
      <c r="A43" s="125" t="s">
        <v>17</v>
      </c>
      <c r="B43" s="125"/>
      <c r="C43" s="125"/>
      <c r="D43" s="125"/>
      <c r="E43" s="29">
        <f>SUM(E8:E42)</f>
        <v>2151</v>
      </c>
      <c r="F43" s="29">
        <f>SUM(F8:F42)</f>
        <v>213</v>
      </c>
      <c r="G43" s="29">
        <v>24</v>
      </c>
      <c r="H43" s="28"/>
    </row>
    <row r="44" spans="1:8" ht="24.95" customHeight="1" thickTop="1" x14ac:dyDescent="0.3">
      <c r="A44" s="2"/>
      <c r="B44" s="2"/>
      <c r="C44" s="2"/>
      <c r="D44" s="2"/>
      <c r="E44" s="2"/>
      <c r="F44" s="2"/>
      <c r="G44" s="2"/>
      <c r="H44" s="22"/>
    </row>
    <row r="45" spans="1:8" x14ac:dyDescent="0.3">
      <c r="A45" s="2"/>
      <c r="B45" s="2"/>
      <c r="C45" s="2"/>
      <c r="D45" s="2"/>
      <c r="E45" s="2"/>
      <c r="F45" s="2"/>
      <c r="G45" s="2"/>
      <c r="H45" s="22"/>
    </row>
    <row r="46" spans="1:8" x14ac:dyDescent="0.3">
      <c r="A46" s="2"/>
      <c r="B46" s="2"/>
      <c r="C46" s="2"/>
      <c r="D46" s="2"/>
      <c r="E46" s="2"/>
      <c r="F46" s="2"/>
      <c r="G46" s="2"/>
      <c r="H46" s="22"/>
    </row>
    <row r="47" spans="1:8" x14ac:dyDescent="0.3">
      <c r="A47" s="2"/>
      <c r="B47" s="2"/>
      <c r="C47" s="2"/>
      <c r="D47" s="2"/>
      <c r="E47" s="2"/>
      <c r="F47" s="2"/>
      <c r="G47" s="2"/>
      <c r="H47" s="22"/>
    </row>
    <row r="48" spans="1:8" x14ac:dyDescent="0.3">
      <c r="A48" s="2"/>
      <c r="B48" s="2"/>
      <c r="C48" s="2"/>
      <c r="D48" s="2"/>
      <c r="E48" s="2"/>
      <c r="F48" s="2"/>
      <c r="G48" s="2"/>
      <c r="H48" s="22"/>
    </row>
    <row r="49" spans="1:8" x14ac:dyDescent="0.3">
      <c r="A49" s="2"/>
      <c r="B49" s="2"/>
      <c r="C49" s="2"/>
      <c r="D49" s="2"/>
      <c r="E49" s="2"/>
      <c r="F49" s="2"/>
      <c r="G49" s="2"/>
      <c r="H49" s="22"/>
    </row>
  </sheetData>
  <mergeCells count="4">
    <mergeCell ref="J4:L4"/>
    <mergeCell ref="J6:K6"/>
    <mergeCell ref="A4:H4"/>
    <mergeCell ref="A43:D43"/>
  </mergeCells>
  <phoneticPr fontId="1" type="noConversion"/>
  <conditionalFormatting sqref="B8:B42">
    <cfRule type="containsText" dxfId="0" priority="1" operator="containsText" text="ERROR">
      <formula>NOT(ISERROR(SEARCH("ERROR",B8)))</formula>
    </cfRule>
  </conditionalFormatting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75" orientation="portrait" r:id="rId1"/>
  <headerFooter>
    <oddHeader>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9D29D-4256-4ED4-8F2C-C1ED9D31140F}">
  <sheetPr codeName="Sheet5"/>
  <dimension ref="A1:H36"/>
  <sheetViews>
    <sheetView topLeftCell="A15" zoomScaleNormal="100" workbookViewId="0">
      <selection activeCell="M26" sqref="M26"/>
    </sheetView>
  </sheetViews>
  <sheetFormatPr defaultRowHeight="16.5" x14ac:dyDescent="0.3"/>
  <cols>
    <col min="1" max="1" width="12.125" style="1" customWidth="1"/>
    <col min="2" max="5" width="11.625" style="1" customWidth="1"/>
    <col min="6" max="6" width="11.75" style="1" customWidth="1"/>
    <col min="7" max="7" width="11.625" style="1" customWidth="1"/>
    <col min="8" max="8" width="8.625" style="1" customWidth="1"/>
  </cols>
  <sheetData>
    <row r="1" spans="1:8" ht="17.25" customHeight="1" x14ac:dyDescent="0.3">
      <c r="G1"/>
      <c r="H1"/>
    </row>
    <row r="2" spans="1:8" ht="17.25" customHeight="1" x14ac:dyDescent="0.3">
      <c r="G2"/>
      <c r="H2"/>
    </row>
    <row r="3" spans="1:8" ht="17.25" customHeight="1" x14ac:dyDescent="0.3">
      <c r="A3" s="106" t="s">
        <v>66</v>
      </c>
      <c r="B3" s="102" t="s">
        <v>22</v>
      </c>
      <c r="C3" s="102"/>
      <c r="D3" s="102"/>
      <c r="E3" s="15"/>
    </row>
    <row r="4" spans="1:8" ht="17.25" customHeight="1" thickBot="1" x14ac:dyDescent="0.35">
      <c r="A4" s="107"/>
      <c r="B4" s="103"/>
      <c r="C4" s="103"/>
      <c r="D4" s="103"/>
      <c r="E4" s="15"/>
      <c r="F4" s="2"/>
      <c r="G4" s="2"/>
    </row>
    <row r="5" spans="1:8" ht="24.95" customHeight="1" x14ac:dyDescent="0.3"/>
    <row r="6" spans="1:8" ht="17.25" customHeight="1" x14ac:dyDescent="0.2">
      <c r="A6" s="120" t="s">
        <v>21</v>
      </c>
      <c r="B6" s="98"/>
      <c r="C6" s="98"/>
      <c r="D6"/>
      <c r="E6"/>
      <c r="F6"/>
      <c r="G6" s="132" t="e" vm="4">
        <v>#VALUE!</v>
      </c>
      <c r="H6" s="132"/>
    </row>
    <row r="7" spans="1:8" ht="5.0999999999999996" customHeight="1" x14ac:dyDescent="0.3">
      <c r="A7" s="80" t="s">
        <v>61</v>
      </c>
      <c r="B7"/>
      <c r="C7"/>
      <c r="D7"/>
      <c r="E7"/>
      <c r="F7"/>
      <c r="G7"/>
      <c r="H7"/>
    </row>
    <row r="8" spans="1:8" ht="17.25" customHeight="1" x14ac:dyDescent="0.3">
      <c r="A8" s="52"/>
      <c r="B8" s="133" t="s">
        <v>8</v>
      </c>
      <c r="C8" s="134"/>
      <c r="D8" s="133" t="s">
        <v>2</v>
      </c>
      <c r="E8" s="134"/>
      <c r="F8" s="133" t="s">
        <v>1</v>
      </c>
      <c r="G8" s="134"/>
      <c r="H8" s="51"/>
    </row>
    <row r="9" spans="1:8" ht="17.25" customHeight="1" x14ac:dyDescent="0.3">
      <c r="A9" s="113"/>
      <c r="B9" s="135">
        <v>8</v>
      </c>
      <c r="C9" s="136"/>
      <c r="D9" s="135">
        <v>140</v>
      </c>
      <c r="E9" s="136"/>
      <c r="F9" s="127">
        <v>11870</v>
      </c>
      <c r="G9" s="128"/>
      <c r="H9" s="104"/>
    </row>
    <row r="10" spans="1:8" ht="17.25" customHeight="1" x14ac:dyDescent="0.3">
      <c r="A10" s="126"/>
      <c r="B10" s="137"/>
      <c r="C10" s="138"/>
      <c r="D10" s="137"/>
      <c r="E10" s="138"/>
      <c r="F10" s="129"/>
      <c r="G10" s="130"/>
      <c r="H10" s="131"/>
    </row>
    <row r="11" spans="1:8" ht="17.25" customHeight="1" x14ac:dyDescent="0.3">
      <c r="A11"/>
      <c r="B11"/>
      <c r="C11"/>
      <c r="D11"/>
      <c r="E11"/>
      <c r="F11"/>
      <c r="G11"/>
      <c r="H11"/>
    </row>
    <row r="12" spans="1:8" ht="17.25" customHeight="1" x14ac:dyDescent="0.3">
      <c r="A12" s="98" t="s">
        <v>20</v>
      </c>
      <c r="B12" s="98"/>
      <c r="C12" s="98"/>
    </row>
    <row r="13" spans="1:8" ht="5.0999999999999996" customHeight="1" x14ac:dyDescent="0.3"/>
    <row r="14" spans="1:8" ht="17.25" customHeight="1" x14ac:dyDescent="0.3">
      <c r="A14" s="108" t="s">
        <v>1</v>
      </c>
      <c r="B14" s="108"/>
      <c r="C14" s="108"/>
      <c r="D14" s="142"/>
      <c r="E14" s="140" t="s">
        <v>2</v>
      </c>
      <c r="F14" s="108"/>
      <c r="G14" s="108"/>
      <c r="H14" s="108"/>
    </row>
    <row r="15" spans="1:8" ht="35.1" customHeight="1" x14ac:dyDescent="0.3">
      <c r="A15" s="109">
        <f>(F20-E20)/F20</f>
        <v>0.53925863521482731</v>
      </c>
      <c r="B15" s="109"/>
      <c r="C15" s="109"/>
      <c r="D15" s="139"/>
      <c r="E15" s="141">
        <f>(F21-E21)/F21</f>
        <v>0.6785714285714286</v>
      </c>
      <c r="F15" s="109"/>
      <c r="G15" s="109"/>
      <c r="H15" s="109"/>
    </row>
    <row r="16" spans="1:8" ht="17.25" customHeight="1" x14ac:dyDescent="0.3">
      <c r="A16"/>
      <c r="B16"/>
      <c r="C16"/>
      <c r="D16"/>
      <c r="E16"/>
      <c r="F16"/>
      <c r="G16"/>
      <c r="H16"/>
    </row>
    <row r="17" spans="1:8" x14ac:dyDescent="0.2">
      <c r="A17" s="98" t="s">
        <v>83</v>
      </c>
      <c r="B17" s="98"/>
      <c r="C17" s="98"/>
      <c r="D17" s="4"/>
      <c r="E17" s="4"/>
      <c r="F17" s="4"/>
      <c r="G17" s="4"/>
      <c r="H17" s="14"/>
    </row>
    <row r="18" spans="1:8" ht="5.0999999999999996" customHeight="1" x14ac:dyDescent="0.25">
      <c r="A18" s="121"/>
      <c r="B18" s="121"/>
      <c r="C18" s="121"/>
      <c r="D18" s="18"/>
      <c r="E18" s="3"/>
      <c r="H18" s="14"/>
    </row>
    <row r="19" spans="1:8" ht="17.25" thickBot="1" x14ac:dyDescent="0.35">
      <c r="A19" s="53" t="s">
        <v>6</v>
      </c>
      <c r="B19" s="53" t="s">
        <v>55</v>
      </c>
      <c r="C19" s="53" t="s">
        <v>56</v>
      </c>
      <c r="D19" s="53" t="s">
        <v>57</v>
      </c>
      <c r="E19" s="53" t="s">
        <v>65</v>
      </c>
      <c r="F19" s="53" t="s">
        <v>66</v>
      </c>
      <c r="G19" s="53" t="s">
        <v>70</v>
      </c>
      <c r="H19" s="53" t="s">
        <v>7</v>
      </c>
    </row>
    <row r="20" spans="1:8" ht="17.25" thickTop="1" x14ac:dyDescent="0.3">
      <c r="A20" s="5" t="s">
        <v>1</v>
      </c>
      <c r="B20" s="44">
        <v>10088</v>
      </c>
      <c r="C20" s="44" t="s">
        <v>71</v>
      </c>
      <c r="D20" s="44">
        <v>5546</v>
      </c>
      <c r="E20" s="44">
        <v>5469</v>
      </c>
      <c r="F20" s="44">
        <v>11870</v>
      </c>
      <c r="G20" s="44"/>
      <c r="H20" s="45">
        <f>SUM(B20:G20)</f>
        <v>32973</v>
      </c>
    </row>
    <row r="21" spans="1:8" x14ac:dyDescent="0.3">
      <c r="A21" s="5" t="s">
        <v>2</v>
      </c>
      <c r="B21" s="44">
        <v>94</v>
      </c>
      <c r="C21" s="44" t="s">
        <v>71</v>
      </c>
      <c r="D21" s="44">
        <v>48</v>
      </c>
      <c r="E21" s="44">
        <v>45</v>
      </c>
      <c r="F21" s="44">
        <v>140</v>
      </c>
      <c r="G21" s="44"/>
      <c r="H21" s="45">
        <f t="shared" ref="H21" si="0">SUM(B21:G21)</f>
        <v>327</v>
      </c>
    </row>
    <row r="22" spans="1:8" x14ac:dyDescent="0.3">
      <c r="A22" s="35"/>
      <c r="B22" s="35"/>
      <c r="C22" s="35"/>
      <c r="D22" s="35"/>
      <c r="E22" s="35"/>
      <c r="F22" s="35"/>
      <c r="G22" s="35"/>
      <c r="H22" s="35"/>
    </row>
    <row r="23" spans="1:8" x14ac:dyDescent="0.3">
      <c r="A23" s="117" t="s">
        <v>19</v>
      </c>
      <c r="B23" s="98"/>
      <c r="C23" s="98"/>
      <c r="D23" s="98"/>
      <c r="E23" s="117"/>
      <c r="F23" s="98"/>
      <c r="G23" s="98"/>
      <c r="H23" s="98"/>
    </row>
    <row r="24" spans="1:8" ht="24.95" customHeight="1" x14ac:dyDescent="0.3">
      <c r="A24" s="100" t="s">
        <v>139</v>
      </c>
      <c r="B24" s="100"/>
      <c r="C24" s="100"/>
      <c r="D24" s="100"/>
      <c r="E24" s="100"/>
      <c r="F24" s="100"/>
      <c r="G24" s="100"/>
      <c r="H24" s="100"/>
    </row>
    <row r="25" spans="1:8" ht="24.95" customHeight="1" x14ac:dyDescent="0.3">
      <c r="A25" s="100"/>
      <c r="B25" s="100"/>
      <c r="C25" s="100"/>
      <c r="D25" s="100"/>
      <c r="E25" s="100"/>
      <c r="F25" s="100"/>
      <c r="G25" s="100"/>
      <c r="H25" s="100"/>
    </row>
    <row r="26" spans="1:8" ht="24.95" customHeight="1" x14ac:dyDescent="0.3">
      <c r="A26" s="100"/>
      <c r="B26" s="100"/>
      <c r="C26" s="100"/>
      <c r="D26" s="100"/>
      <c r="E26" s="100"/>
      <c r="F26" s="100"/>
      <c r="G26" s="100"/>
      <c r="H26" s="100"/>
    </row>
    <row r="27" spans="1:8" ht="24.95" customHeight="1" x14ac:dyDescent="0.3">
      <c r="A27" s="100"/>
      <c r="B27" s="100"/>
      <c r="C27" s="100"/>
      <c r="D27" s="101"/>
      <c r="E27" s="99"/>
      <c r="F27" s="100"/>
      <c r="G27" s="100"/>
      <c r="H27" s="100"/>
    </row>
    <row r="28" spans="1:8" x14ac:dyDescent="0.3">
      <c r="F28"/>
      <c r="G28"/>
      <c r="H28"/>
    </row>
    <row r="29" spans="1:8" x14ac:dyDescent="0.3">
      <c r="A29" s="98" t="s">
        <v>84</v>
      </c>
      <c r="B29" s="98"/>
      <c r="C29" s="98"/>
      <c r="F29"/>
      <c r="G29"/>
      <c r="H29"/>
    </row>
    <row r="30" spans="1:8" x14ac:dyDescent="0.3">
      <c r="F30"/>
      <c r="G30"/>
      <c r="H30"/>
    </row>
    <row r="31" spans="1:8" x14ac:dyDescent="0.3">
      <c r="F31"/>
      <c r="G31"/>
      <c r="H31"/>
    </row>
    <row r="32" spans="1:8" x14ac:dyDescent="0.3">
      <c r="F32"/>
      <c r="G32"/>
      <c r="H32"/>
    </row>
    <row r="33" spans="1:8" x14ac:dyDescent="0.3">
      <c r="F33"/>
      <c r="G33"/>
      <c r="H33"/>
    </row>
    <row r="34" spans="1:8" x14ac:dyDescent="0.3">
      <c r="F34" s="43"/>
      <c r="G34" s="43"/>
      <c r="H34" s="43"/>
    </row>
    <row r="36" spans="1:8" x14ac:dyDescent="0.3">
      <c r="A36" s="98" t="s">
        <v>87</v>
      </c>
      <c r="B36" s="98"/>
      <c r="C36" s="98"/>
    </row>
  </sheetData>
  <mergeCells count="28">
    <mergeCell ref="F9:G10"/>
    <mergeCell ref="H9:H10"/>
    <mergeCell ref="A29:C29"/>
    <mergeCell ref="A36:C36"/>
    <mergeCell ref="G6:H6"/>
    <mergeCell ref="B8:C8"/>
    <mergeCell ref="D8:E8"/>
    <mergeCell ref="F8:G8"/>
    <mergeCell ref="B9:C10"/>
    <mergeCell ref="D9:E10"/>
    <mergeCell ref="A27:D27"/>
    <mergeCell ref="E27:H27"/>
    <mergeCell ref="A15:D15"/>
    <mergeCell ref="E14:H14"/>
    <mergeCell ref="E15:H15"/>
    <mergeCell ref="A14:D14"/>
    <mergeCell ref="A23:D23"/>
    <mergeCell ref="E23:H23"/>
    <mergeCell ref="A24:H24"/>
    <mergeCell ref="A25:H25"/>
    <mergeCell ref="A26:H26"/>
    <mergeCell ref="A3:A4"/>
    <mergeCell ref="B3:D4"/>
    <mergeCell ref="A6:C6"/>
    <mergeCell ref="A17:C17"/>
    <mergeCell ref="A18:C18"/>
    <mergeCell ref="A9:A10"/>
    <mergeCell ref="A12:C12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orientation="portrait" r:id="rId1"/>
  <headerFooter>
    <oddHeader>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FB73B-BF77-4297-B0FE-62F2BF490617}">
  <sheetPr codeName="Sheet6"/>
  <dimension ref="A1:J49"/>
  <sheetViews>
    <sheetView topLeftCell="A4" zoomScale="85" zoomScaleNormal="85" zoomScaleSheetLayoutView="85" workbookViewId="0">
      <selection activeCell="O17" sqref="O17"/>
    </sheetView>
  </sheetViews>
  <sheetFormatPr defaultRowHeight="16.5" x14ac:dyDescent="0.3"/>
  <cols>
    <col min="1" max="1" width="3.5" style="1" customWidth="1"/>
    <col min="2" max="2" width="33.75" style="1" customWidth="1"/>
    <col min="3" max="3" width="47.125" style="1" customWidth="1"/>
    <col min="4" max="4" width="17" style="1" customWidth="1"/>
    <col min="5" max="5" width="7" style="1" customWidth="1"/>
    <col min="6" max="6" width="5.625" style="1" customWidth="1"/>
    <col min="7" max="7" width="3.625" customWidth="1"/>
  </cols>
  <sheetData>
    <row r="1" spans="1:10" ht="17.25" customHeight="1" x14ac:dyDescent="0.3">
      <c r="D1"/>
      <c r="E1"/>
      <c r="F1"/>
    </row>
    <row r="2" spans="1:10" ht="17.25" customHeight="1" x14ac:dyDescent="0.45">
      <c r="A2" s="30"/>
      <c r="B2" s="31"/>
      <c r="C2" s="15"/>
      <c r="D2"/>
      <c r="E2"/>
      <c r="F2"/>
    </row>
    <row r="3" spans="1:10" ht="12.75" customHeight="1" x14ac:dyDescent="0.2">
      <c r="F3" s="21"/>
    </row>
    <row r="4" spans="1:10" ht="40.5" customHeight="1" x14ac:dyDescent="0.3">
      <c r="A4" s="124" t="s">
        <v>122</v>
      </c>
      <c r="B4" s="124"/>
      <c r="C4" s="124"/>
      <c r="D4" s="124"/>
      <c r="E4" s="124"/>
      <c r="F4" s="124"/>
      <c r="G4" s="124"/>
    </row>
    <row r="5" spans="1:10" ht="5.25" customHeight="1" thickBot="1" x14ac:dyDescent="0.35">
      <c r="A5" s="32"/>
      <c r="B5" s="32"/>
      <c r="C5" s="32"/>
      <c r="D5" s="32"/>
      <c r="E5" s="32"/>
      <c r="F5" s="32"/>
      <c r="G5" s="32"/>
    </row>
    <row r="6" spans="1:10" ht="27" customHeight="1" thickTop="1" thickBot="1" x14ac:dyDescent="0.35">
      <c r="A6" s="33" t="s">
        <v>10</v>
      </c>
      <c r="B6" s="34" t="s">
        <v>11</v>
      </c>
      <c r="C6" s="123" t="s">
        <v>12</v>
      </c>
      <c r="D6" s="123"/>
      <c r="E6" s="34" t="s">
        <v>1</v>
      </c>
      <c r="F6" s="34" t="s">
        <v>2</v>
      </c>
      <c r="G6" s="34" t="s">
        <v>13</v>
      </c>
    </row>
    <row r="7" spans="1:10" ht="5.25" customHeight="1" thickTop="1" x14ac:dyDescent="0.3">
      <c r="A7" s="80" t="s">
        <v>61</v>
      </c>
      <c r="B7" s="23"/>
      <c r="C7" s="23"/>
      <c r="D7" s="23"/>
      <c r="E7" s="23"/>
      <c r="F7" s="23"/>
      <c r="G7" s="23"/>
    </row>
    <row r="8" spans="1:10" ht="24.95" customHeight="1" x14ac:dyDescent="0.3">
      <c r="A8" s="24">
        <v>1</v>
      </c>
      <c r="B8" s="90" t="s">
        <v>123</v>
      </c>
      <c r="C8" s="144" t="s">
        <v>131</v>
      </c>
      <c r="D8" s="144"/>
      <c r="E8" s="54">
        <v>448</v>
      </c>
      <c r="F8" s="54">
        <v>5</v>
      </c>
      <c r="G8" s="49"/>
    </row>
    <row r="9" spans="1:10" ht="24.95" customHeight="1" x14ac:dyDescent="0.3">
      <c r="A9" s="25">
        <v>2</v>
      </c>
      <c r="B9" s="82" t="s">
        <v>124</v>
      </c>
      <c r="C9" s="143" t="s">
        <v>132</v>
      </c>
      <c r="D9" s="143"/>
      <c r="E9" s="56">
        <v>386</v>
      </c>
      <c r="F9" s="56">
        <v>4</v>
      </c>
      <c r="G9" s="50"/>
    </row>
    <row r="10" spans="1:10" ht="24.95" customHeight="1" x14ac:dyDescent="0.3">
      <c r="A10" s="25">
        <v>3</v>
      </c>
      <c r="B10" s="82" t="s">
        <v>125</v>
      </c>
      <c r="C10" s="143" t="s">
        <v>133</v>
      </c>
      <c r="D10" s="143"/>
      <c r="E10" s="56">
        <v>239</v>
      </c>
      <c r="F10" s="84">
        <v>7</v>
      </c>
      <c r="G10" s="50"/>
    </row>
    <row r="11" spans="1:10" ht="24.95" customHeight="1" x14ac:dyDescent="0.3">
      <c r="A11" s="25">
        <v>4</v>
      </c>
      <c r="B11" s="82" t="s">
        <v>126</v>
      </c>
      <c r="C11" s="143" t="s">
        <v>134</v>
      </c>
      <c r="D11" s="143"/>
      <c r="E11" s="56">
        <v>423</v>
      </c>
      <c r="F11" s="56">
        <v>6</v>
      </c>
      <c r="G11" s="50"/>
    </row>
    <row r="12" spans="1:10" ht="24.95" customHeight="1" x14ac:dyDescent="0.3">
      <c r="A12" s="25">
        <v>5</v>
      </c>
      <c r="B12" s="82" t="s">
        <v>127</v>
      </c>
      <c r="C12" s="143" t="s">
        <v>135</v>
      </c>
      <c r="D12" s="143"/>
      <c r="E12" s="56">
        <v>575</v>
      </c>
      <c r="F12" s="56">
        <v>1</v>
      </c>
      <c r="G12" s="50"/>
    </row>
    <row r="13" spans="1:10" ht="24.95" customHeight="1" x14ac:dyDescent="0.3">
      <c r="A13" s="26">
        <v>6</v>
      </c>
      <c r="B13" s="82" t="s">
        <v>128</v>
      </c>
      <c r="C13" s="143" t="s">
        <v>136</v>
      </c>
      <c r="D13" s="143"/>
      <c r="E13" s="57">
        <v>1092</v>
      </c>
      <c r="F13" s="57">
        <v>2</v>
      </c>
      <c r="G13" s="50"/>
    </row>
    <row r="14" spans="1:10" ht="24.95" customHeight="1" x14ac:dyDescent="0.3">
      <c r="A14" s="25">
        <v>7</v>
      </c>
      <c r="B14" s="82" t="s">
        <v>129</v>
      </c>
      <c r="C14" s="143" t="s">
        <v>137</v>
      </c>
      <c r="D14" s="143"/>
      <c r="E14" s="57">
        <v>8107</v>
      </c>
      <c r="F14" s="57">
        <v>112</v>
      </c>
      <c r="G14" s="50"/>
      <c r="J14" s="85"/>
    </row>
    <row r="15" spans="1:10" ht="24.95" customHeight="1" x14ac:dyDescent="0.3">
      <c r="A15" s="26">
        <v>8</v>
      </c>
      <c r="B15" s="82" t="s">
        <v>130</v>
      </c>
      <c r="C15" s="143" t="s">
        <v>138</v>
      </c>
      <c r="D15" s="143"/>
      <c r="E15" s="57">
        <v>600</v>
      </c>
      <c r="F15" s="57">
        <v>3</v>
      </c>
      <c r="G15" s="50"/>
    </row>
    <row r="16" spans="1:10" ht="24.95" customHeight="1" x14ac:dyDescent="0.3">
      <c r="A16" s="59">
        <v>9</v>
      </c>
      <c r="B16" s="83"/>
      <c r="C16" s="143"/>
      <c r="D16" s="143"/>
      <c r="E16" s="57"/>
      <c r="F16" s="54"/>
      <c r="G16" s="86"/>
    </row>
    <row r="17" spans="1:7" ht="24.95" customHeight="1" x14ac:dyDescent="0.3">
      <c r="A17" s="25">
        <v>10</v>
      </c>
      <c r="B17" s="83"/>
      <c r="C17" s="143"/>
      <c r="D17" s="143"/>
      <c r="E17" s="57"/>
      <c r="F17" s="57"/>
      <c r="G17" s="86"/>
    </row>
    <row r="18" spans="1:7" ht="24.95" customHeight="1" x14ac:dyDescent="0.3">
      <c r="A18" s="26">
        <v>11</v>
      </c>
      <c r="B18" s="91"/>
      <c r="C18" s="143"/>
      <c r="D18" s="143"/>
      <c r="E18" s="57"/>
      <c r="F18" s="84"/>
      <c r="G18" s="86"/>
    </row>
    <row r="19" spans="1:7" ht="24.95" customHeight="1" x14ac:dyDescent="0.3">
      <c r="A19" s="25">
        <v>12</v>
      </c>
      <c r="B19" s="61"/>
      <c r="C19" s="143"/>
      <c r="D19" s="143"/>
      <c r="E19" s="57"/>
      <c r="F19" s="57"/>
      <c r="G19" s="86"/>
    </row>
    <row r="20" spans="1:7" ht="24.95" customHeight="1" x14ac:dyDescent="0.3">
      <c r="A20" s="25">
        <v>13</v>
      </c>
      <c r="B20" s="25"/>
      <c r="C20" s="143"/>
      <c r="D20" s="143"/>
      <c r="E20" s="57"/>
      <c r="F20" s="57"/>
      <c r="G20" s="86"/>
    </row>
    <row r="21" spans="1:7" ht="24.95" customHeight="1" x14ac:dyDescent="0.3">
      <c r="A21" s="25">
        <v>14</v>
      </c>
      <c r="B21" s="25"/>
      <c r="C21" s="145"/>
      <c r="D21" s="145"/>
      <c r="E21" s="57"/>
      <c r="F21" s="57"/>
      <c r="G21" s="86"/>
    </row>
    <row r="22" spans="1:7" ht="24.95" customHeight="1" x14ac:dyDescent="0.3">
      <c r="A22" s="25">
        <v>15</v>
      </c>
      <c r="B22" s="25"/>
      <c r="C22" s="145"/>
      <c r="D22" s="145"/>
      <c r="E22" s="57"/>
      <c r="F22" s="57"/>
      <c r="G22" s="86"/>
    </row>
    <row r="23" spans="1:7" ht="24.95" customHeight="1" x14ac:dyDescent="0.3">
      <c r="A23" s="26">
        <v>16</v>
      </c>
      <c r="B23" s="25"/>
      <c r="C23" s="145"/>
      <c r="D23" s="145"/>
      <c r="E23" s="57"/>
      <c r="F23" s="57"/>
      <c r="G23" s="86"/>
    </row>
    <row r="24" spans="1:7" ht="24.95" customHeight="1" x14ac:dyDescent="0.3">
      <c r="A24" s="25">
        <v>17</v>
      </c>
      <c r="B24" s="25"/>
      <c r="C24" s="145"/>
      <c r="D24" s="145"/>
      <c r="E24" s="57"/>
      <c r="F24" s="57"/>
      <c r="G24" s="86"/>
    </row>
    <row r="25" spans="1:7" ht="24.95" customHeight="1" x14ac:dyDescent="0.3">
      <c r="A25" s="25">
        <v>18</v>
      </c>
      <c r="B25" s="25"/>
      <c r="C25" s="145"/>
      <c r="D25" s="145"/>
      <c r="E25" s="57"/>
      <c r="F25" s="57"/>
      <c r="G25" s="86"/>
    </row>
    <row r="26" spans="1:7" ht="24.95" customHeight="1" x14ac:dyDescent="0.3">
      <c r="A26" s="25">
        <v>19</v>
      </c>
      <c r="B26" s="25"/>
      <c r="C26" s="145"/>
      <c r="D26" s="145"/>
      <c r="E26" s="57"/>
      <c r="F26" s="57"/>
      <c r="G26" s="86"/>
    </row>
    <row r="27" spans="1:7" ht="24.95" customHeight="1" x14ac:dyDescent="0.3">
      <c r="A27" s="25">
        <v>20</v>
      </c>
      <c r="B27" s="25"/>
      <c r="C27" s="145"/>
      <c r="D27" s="145"/>
      <c r="E27" s="57"/>
      <c r="F27" s="57"/>
      <c r="G27" s="86"/>
    </row>
    <row r="28" spans="1:7" ht="24.95" customHeight="1" x14ac:dyDescent="0.3">
      <c r="A28" s="26">
        <v>21</v>
      </c>
      <c r="B28" s="25"/>
      <c r="C28" s="145"/>
      <c r="D28" s="145"/>
      <c r="E28" s="57"/>
      <c r="F28" s="56"/>
      <c r="G28" s="86"/>
    </row>
    <row r="29" spans="1:7" ht="24.95" customHeight="1" x14ac:dyDescent="0.3">
      <c r="A29" s="25">
        <v>22</v>
      </c>
      <c r="B29" s="25"/>
      <c r="C29" s="145"/>
      <c r="D29" s="145"/>
      <c r="E29" s="57"/>
      <c r="F29" s="56"/>
      <c r="G29" s="86"/>
    </row>
    <row r="30" spans="1:7" ht="24.95" customHeight="1" x14ac:dyDescent="0.3">
      <c r="A30" s="25">
        <v>23</v>
      </c>
      <c r="B30" s="25"/>
      <c r="C30" s="145"/>
      <c r="D30" s="145"/>
      <c r="E30" s="57"/>
      <c r="F30" s="56"/>
      <c r="G30" s="86"/>
    </row>
    <row r="31" spans="1:7" ht="24.95" customHeight="1" x14ac:dyDescent="0.3">
      <c r="A31" s="25">
        <v>24</v>
      </c>
      <c r="B31" s="25"/>
      <c r="C31" s="145"/>
      <c r="D31" s="145"/>
      <c r="E31" s="57"/>
      <c r="F31" s="56"/>
      <c r="G31" s="86"/>
    </row>
    <row r="32" spans="1:7" ht="24.95" customHeight="1" x14ac:dyDescent="0.3">
      <c r="A32" s="25">
        <v>25</v>
      </c>
      <c r="B32" s="25"/>
      <c r="C32" s="145"/>
      <c r="D32" s="145"/>
      <c r="E32" s="57"/>
      <c r="F32" s="56"/>
      <c r="G32" s="86"/>
    </row>
    <row r="33" spans="1:7" ht="24.95" customHeight="1" x14ac:dyDescent="0.3">
      <c r="A33" s="26">
        <v>26</v>
      </c>
      <c r="B33" s="25"/>
      <c r="C33" s="145"/>
      <c r="D33" s="145"/>
      <c r="E33" s="57"/>
      <c r="F33" s="56"/>
      <c r="G33" s="86"/>
    </row>
    <row r="34" spans="1:7" ht="24.95" customHeight="1" x14ac:dyDescent="0.3">
      <c r="A34" s="25">
        <v>27</v>
      </c>
      <c r="B34" s="25"/>
      <c r="C34" s="145"/>
      <c r="D34" s="145"/>
      <c r="E34" s="57"/>
      <c r="F34" s="56"/>
      <c r="G34" s="86"/>
    </row>
    <row r="35" spans="1:7" ht="24.95" customHeight="1" x14ac:dyDescent="0.3">
      <c r="A35" s="25">
        <v>28</v>
      </c>
      <c r="B35" s="25"/>
      <c r="C35" s="145"/>
      <c r="D35" s="145"/>
      <c r="E35" s="57"/>
      <c r="F35" s="56"/>
      <c r="G35" s="86"/>
    </row>
    <row r="36" spans="1:7" ht="24.95" customHeight="1" x14ac:dyDescent="0.3">
      <c r="A36" s="25">
        <v>29</v>
      </c>
      <c r="B36" s="25"/>
      <c r="C36" s="145"/>
      <c r="D36" s="145"/>
      <c r="E36" s="57"/>
      <c r="F36" s="56"/>
      <c r="G36" s="86"/>
    </row>
    <row r="37" spans="1:7" ht="24.95" customHeight="1" x14ac:dyDescent="0.3">
      <c r="A37" s="25">
        <v>30</v>
      </c>
      <c r="B37" s="25"/>
      <c r="C37" s="145"/>
      <c r="D37" s="145"/>
      <c r="E37" s="56"/>
      <c r="F37" s="56"/>
      <c r="G37" s="86"/>
    </row>
    <row r="38" spans="1:7" ht="24.95" customHeight="1" x14ac:dyDescent="0.3">
      <c r="A38" s="26"/>
      <c r="B38" s="25"/>
      <c r="C38" s="145"/>
      <c r="D38" s="145"/>
      <c r="E38" s="56"/>
      <c r="F38" s="56"/>
      <c r="G38" s="87"/>
    </row>
    <row r="39" spans="1:7" ht="24.95" customHeight="1" x14ac:dyDescent="0.3">
      <c r="A39" s="25"/>
      <c r="B39" s="25"/>
      <c r="C39" s="145"/>
      <c r="D39" s="145"/>
      <c r="E39" s="56"/>
      <c r="F39" s="56"/>
      <c r="G39" s="87"/>
    </row>
    <row r="40" spans="1:7" ht="24.95" customHeight="1" x14ac:dyDescent="0.3">
      <c r="A40" s="25"/>
      <c r="B40" s="25"/>
      <c r="C40" s="145"/>
      <c r="D40" s="145"/>
      <c r="E40" s="56"/>
      <c r="F40" s="56"/>
      <c r="G40" s="87"/>
    </row>
    <row r="41" spans="1:7" ht="24.95" customHeight="1" x14ac:dyDescent="0.3">
      <c r="A41" s="25"/>
      <c r="B41" s="25"/>
      <c r="C41" s="145"/>
      <c r="D41" s="145"/>
      <c r="E41" s="56"/>
      <c r="F41" s="56"/>
      <c r="G41" s="87"/>
    </row>
    <row r="42" spans="1:7" ht="24.95" customHeight="1" x14ac:dyDescent="0.3">
      <c r="A42" s="27"/>
      <c r="B42" s="27"/>
      <c r="C42" s="145"/>
      <c r="D42" s="145"/>
      <c r="E42" s="58"/>
      <c r="F42" s="58"/>
      <c r="G42" s="87"/>
    </row>
    <row r="43" spans="1:7" ht="24.95" customHeight="1" thickBot="1" x14ac:dyDescent="0.35">
      <c r="A43" s="125" t="s">
        <v>17</v>
      </c>
      <c r="B43" s="125"/>
      <c r="C43" s="125"/>
      <c r="D43" s="125"/>
      <c r="E43" s="29">
        <f>SUM(E8:E42)</f>
        <v>11870</v>
      </c>
      <c r="F43" s="29">
        <f t="shared" ref="F43" si="0">SUM(F8:F42)</f>
        <v>140</v>
      </c>
      <c r="G43" s="28"/>
    </row>
    <row r="44" spans="1:7" ht="24.95" customHeight="1" thickTop="1" x14ac:dyDescent="0.3">
      <c r="A44" s="2"/>
      <c r="B44" s="2"/>
      <c r="C44" s="2"/>
      <c r="D44" s="2"/>
      <c r="E44" s="2"/>
      <c r="F44" s="2"/>
      <c r="G44" s="22"/>
    </row>
    <row r="45" spans="1:7" x14ac:dyDescent="0.3">
      <c r="A45" s="2"/>
      <c r="B45" s="2"/>
      <c r="C45" s="2"/>
      <c r="D45" s="2"/>
      <c r="E45" s="2"/>
      <c r="F45" s="2"/>
      <c r="G45" s="22"/>
    </row>
    <row r="46" spans="1:7" x14ac:dyDescent="0.3">
      <c r="A46" s="2"/>
      <c r="B46" s="2"/>
      <c r="C46" s="2"/>
      <c r="D46" s="2"/>
      <c r="E46" s="2"/>
      <c r="F46" s="2"/>
      <c r="G46" s="22"/>
    </row>
    <row r="47" spans="1:7" x14ac:dyDescent="0.3">
      <c r="A47" s="2"/>
      <c r="B47" s="2"/>
      <c r="C47" s="2"/>
      <c r="D47" s="2"/>
      <c r="E47" s="2"/>
      <c r="F47" s="2"/>
      <c r="G47" s="22"/>
    </row>
    <row r="48" spans="1:7" x14ac:dyDescent="0.3">
      <c r="A48" s="2"/>
      <c r="B48" s="2"/>
      <c r="C48" s="2"/>
      <c r="D48" s="2"/>
      <c r="E48" s="2"/>
      <c r="F48" s="2"/>
      <c r="G48" s="22"/>
    </row>
    <row r="49" spans="1:7" x14ac:dyDescent="0.3">
      <c r="A49" s="2"/>
      <c r="B49" s="2"/>
      <c r="C49" s="2"/>
      <c r="D49" s="2"/>
      <c r="E49" s="2"/>
      <c r="F49" s="2"/>
      <c r="G49" s="22"/>
    </row>
  </sheetData>
  <mergeCells count="38">
    <mergeCell ref="C39:D39"/>
    <mergeCell ref="C40:D40"/>
    <mergeCell ref="C41:D41"/>
    <mergeCell ref="C42:D42"/>
    <mergeCell ref="C33:D33"/>
    <mergeCell ref="C34:D34"/>
    <mergeCell ref="C35:D35"/>
    <mergeCell ref="C36:D36"/>
    <mergeCell ref="C37:D37"/>
    <mergeCell ref="C38:D38"/>
    <mergeCell ref="C32:D32"/>
    <mergeCell ref="A43:D43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17:D17"/>
    <mergeCell ref="A4:G4"/>
    <mergeCell ref="C6:D6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75" orientation="portrait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315FF-E246-4753-BBE8-1DFE5784A7DF}">
  <dimension ref="A3:H46"/>
  <sheetViews>
    <sheetView topLeftCell="A18" workbookViewId="0">
      <selection activeCell="N41" sqref="N41"/>
    </sheetView>
  </sheetViews>
  <sheetFormatPr defaultRowHeight="16.5" x14ac:dyDescent="0.3"/>
  <cols>
    <col min="1" max="1" width="3.375" customWidth="1"/>
    <col min="2" max="2" width="12.125" customWidth="1"/>
    <col min="3" max="7" width="12.625" customWidth="1"/>
    <col min="8" max="8" width="12.125" customWidth="1"/>
  </cols>
  <sheetData>
    <row r="3" spans="1:8" ht="17.25" customHeight="1" x14ac:dyDescent="0.3">
      <c r="A3" s="149" t="s">
        <v>66</v>
      </c>
      <c r="B3" s="149"/>
      <c r="C3" s="153" t="s">
        <v>45</v>
      </c>
      <c r="D3" s="102"/>
      <c r="E3" s="102"/>
    </row>
    <row r="4" spans="1:8" ht="17.25" customHeight="1" thickBot="1" x14ac:dyDescent="0.35">
      <c r="A4" s="150"/>
      <c r="B4" s="150"/>
      <c r="C4" s="103"/>
      <c r="D4" s="103"/>
      <c r="E4" s="103"/>
    </row>
    <row r="5" spans="1:8" ht="17.25" customHeight="1" x14ac:dyDescent="0.3"/>
    <row r="6" spans="1:8" ht="17.25" customHeight="1" x14ac:dyDescent="0.3">
      <c r="A6" s="95"/>
      <c r="B6" s="95"/>
      <c r="C6" s="95"/>
      <c r="D6" s="95"/>
      <c r="E6" s="95"/>
      <c r="F6" s="95"/>
      <c r="G6" s="95"/>
      <c r="H6" s="95"/>
    </row>
    <row r="7" spans="1:8" ht="17.25" customHeight="1" x14ac:dyDescent="0.3">
      <c r="A7" s="152"/>
      <c r="B7" s="95"/>
      <c r="C7" s="95"/>
      <c r="D7" s="95"/>
      <c r="E7" s="95"/>
      <c r="F7" s="95"/>
      <c r="G7" s="95"/>
      <c r="H7" s="95"/>
    </row>
    <row r="8" spans="1:8" ht="17.25" customHeight="1" x14ac:dyDescent="0.3">
      <c r="A8" s="95"/>
      <c r="B8" s="95"/>
      <c r="C8" s="95"/>
      <c r="D8" s="95"/>
      <c r="E8" s="95"/>
      <c r="F8" s="95"/>
      <c r="G8" s="95"/>
      <c r="H8" s="95"/>
    </row>
    <row r="9" spans="1:8" ht="17.25" customHeight="1" x14ac:dyDescent="0.3">
      <c r="A9" s="95"/>
      <c r="B9" s="95"/>
      <c r="C9" s="95"/>
      <c r="D9" s="95"/>
      <c r="E9" s="95"/>
      <c r="F9" s="95"/>
      <c r="G9" s="95"/>
      <c r="H9" s="95"/>
    </row>
    <row r="10" spans="1:8" ht="17.25" customHeight="1" x14ac:dyDescent="0.3">
      <c r="A10" s="95"/>
      <c r="B10" s="95"/>
      <c r="C10" s="95"/>
      <c r="D10" s="95"/>
      <c r="E10" s="95"/>
      <c r="F10" s="95"/>
      <c r="G10" s="95"/>
      <c r="H10" s="95"/>
    </row>
    <row r="11" spans="1:8" ht="17.25" customHeight="1" x14ac:dyDescent="0.3">
      <c r="A11" s="95"/>
      <c r="B11" s="95"/>
      <c r="C11" s="95"/>
      <c r="D11" s="95"/>
      <c r="E11" s="95"/>
      <c r="F11" s="95"/>
      <c r="G11" s="95"/>
      <c r="H11" s="95"/>
    </row>
    <row r="12" spans="1:8" ht="17.25" customHeight="1" x14ac:dyDescent="0.3">
      <c r="A12" s="95"/>
      <c r="B12" s="95"/>
      <c r="C12" s="95"/>
      <c r="D12" s="95"/>
      <c r="E12" s="95"/>
      <c r="F12" s="95"/>
      <c r="G12" s="95"/>
      <c r="H12" s="95"/>
    </row>
    <row r="13" spans="1:8" ht="17.25" customHeight="1" x14ac:dyDescent="0.3">
      <c r="A13" s="95"/>
      <c r="B13" s="95"/>
      <c r="C13" s="95"/>
      <c r="D13" s="95"/>
      <c r="E13" s="95"/>
      <c r="F13" s="95"/>
      <c r="G13" s="95"/>
      <c r="H13" s="95"/>
    </row>
    <row r="14" spans="1:8" ht="17.25" customHeight="1" x14ac:dyDescent="0.3">
      <c r="A14" s="95"/>
      <c r="B14" s="95"/>
      <c r="C14" s="95"/>
      <c r="D14" s="95"/>
      <c r="E14" s="95"/>
      <c r="F14" s="95"/>
      <c r="G14" s="95"/>
      <c r="H14" s="95"/>
    </row>
    <row r="15" spans="1:8" ht="17.25" customHeight="1" x14ac:dyDescent="0.3">
      <c r="A15" s="95"/>
      <c r="B15" s="95"/>
      <c r="C15" s="95"/>
      <c r="D15" s="95"/>
      <c r="E15" s="95"/>
      <c r="F15" s="95"/>
      <c r="G15" s="95"/>
      <c r="H15" s="95"/>
    </row>
    <row r="16" spans="1:8" ht="17.25" customHeight="1" x14ac:dyDescent="0.3">
      <c r="A16" s="95"/>
      <c r="B16" s="95"/>
      <c r="C16" s="95"/>
      <c r="D16" s="95"/>
      <c r="E16" s="95"/>
      <c r="F16" s="95"/>
      <c r="G16" s="95"/>
      <c r="H16" s="95"/>
    </row>
    <row r="17" spans="1:8" ht="17.25" customHeight="1" x14ac:dyDescent="0.3"/>
    <row r="18" spans="1:8" ht="17.25" customHeight="1" x14ac:dyDescent="0.3">
      <c r="A18" s="95" t="e" vm="5">
        <v>#VALUE!</v>
      </c>
      <c r="B18" s="95"/>
      <c r="C18" s="95"/>
      <c r="D18" s="95"/>
      <c r="E18" s="95"/>
      <c r="F18" s="95"/>
      <c r="G18" s="95"/>
      <c r="H18" s="95"/>
    </row>
    <row r="19" spans="1:8" ht="17.25" customHeight="1" x14ac:dyDescent="0.3">
      <c r="A19" s="95"/>
      <c r="B19" s="95"/>
      <c r="C19" s="95"/>
      <c r="D19" s="95"/>
      <c r="E19" s="95"/>
      <c r="F19" s="95"/>
      <c r="G19" s="95"/>
      <c r="H19" s="95"/>
    </row>
    <row r="20" spans="1:8" ht="17.25" customHeight="1" x14ac:dyDescent="0.3">
      <c r="A20" s="95"/>
      <c r="B20" s="95"/>
      <c r="C20" s="95"/>
      <c r="D20" s="95"/>
      <c r="E20" s="95"/>
      <c r="F20" s="95"/>
      <c r="G20" s="95"/>
      <c r="H20" s="95"/>
    </row>
    <row r="21" spans="1:8" ht="17.25" customHeight="1" x14ac:dyDescent="0.3">
      <c r="A21" s="95"/>
      <c r="B21" s="95"/>
      <c r="C21" s="95"/>
      <c r="D21" s="95"/>
      <c r="E21" s="95"/>
      <c r="F21" s="95"/>
      <c r="G21" s="95"/>
      <c r="H21" s="95"/>
    </row>
    <row r="22" spans="1:8" ht="17.25" customHeight="1" x14ac:dyDescent="0.3"/>
    <row r="23" spans="1:8" ht="17.25" customHeight="1" x14ac:dyDescent="0.3">
      <c r="A23" s="98" t="s">
        <v>140</v>
      </c>
      <c r="B23" s="98"/>
      <c r="C23" s="98"/>
      <c r="D23" s="98"/>
    </row>
    <row r="24" spans="1:8" ht="5.0999999999999996" customHeight="1" thickBot="1" x14ac:dyDescent="0.35"/>
    <row r="25" spans="1:8" ht="17.25" customHeight="1" thickTop="1" x14ac:dyDescent="0.3">
      <c r="A25" s="66" t="s">
        <v>52</v>
      </c>
      <c r="B25" s="147" t="s">
        <v>46</v>
      </c>
      <c r="C25" s="147"/>
      <c r="D25" s="147"/>
      <c r="E25" s="147"/>
      <c r="F25" s="147"/>
      <c r="G25" s="66" t="s">
        <v>37</v>
      </c>
      <c r="H25" s="66" t="s">
        <v>38</v>
      </c>
    </row>
    <row r="26" spans="1:8" ht="17.25" customHeight="1" x14ac:dyDescent="0.3">
      <c r="A26" s="76">
        <v>1</v>
      </c>
      <c r="B26" s="148" t="s">
        <v>54</v>
      </c>
      <c r="C26" s="148"/>
      <c r="D26" s="148"/>
      <c r="E26" s="148"/>
      <c r="F26" s="148"/>
      <c r="G26" s="76" t="s">
        <v>58</v>
      </c>
      <c r="H26" s="76" t="s">
        <v>53</v>
      </c>
    </row>
    <row r="27" spans="1:8" ht="17.25" customHeight="1" x14ac:dyDescent="0.3">
      <c r="A27" s="76">
        <v>2</v>
      </c>
      <c r="B27" s="148" t="s">
        <v>59</v>
      </c>
      <c r="C27" s="148"/>
      <c r="D27" s="148"/>
      <c r="E27" s="148"/>
      <c r="F27" s="148"/>
      <c r="G27" s="76" t="s">
        <v>60</v>
      </c>
      <c r="H27" s="76" t="s">
        <v>53</v>
      </c>
    </row>
    <row r="28" spans="1:8" ht="17.25" customHeight="1" x14ac:dyDescent="0.3">
      <c r="A28" s="76">
        <v>3</v>
      </c>
      <c r="B28" s="148" t="s">
        <v>63</v>
      </c>
      <c r="C28" s="148"/>
      <c r="D28" s="148"/>
      <c r="E28" s="148"/>
      <c r="F28" s="148"/>
      <c r="G28" s="76" t="s">
        <v>67</v>
      </c>
      <c r="H28" s="76" t="s">
        <v>77</v>
      </c>
    </row>
    <row r="29" spans="1:8" ht="17.25" customHeight="1" x14ac:dyDescent="0.3">
      <c r="A29" s="25">
        <v>4</v>
      </c>
      <c r="B29" s="145" t="s">
        <v>62</v>
      </c>
      <c r="C29" s="145"/>
      <c r="D29" s="145"/>
      <c r="E29" s="145"/>
      <c r="F29" s="145"/>
      <c r="G29" s="25" t="s">
        <v>74</v>
      </c>
      <c r="H29" s="25" t="s">
        <v>75</v>
      </c>
    </row>
    <row r="30" spans="1:8" ht="17.25" customHeight="1" x14ac:dyDescent="0.3">
      <c r="A30" s="25">
        <v>5</v>
      </c>
      <c r="B30" s="145" t="s">
        <v>78</v>
      </c>
      <c r="C30" s="145"/>
      <c r="D30" s="145"/>
      <c r="E30" s="145"/>
      <c r="F30" s="145"/>
      <c r="G30" s="25" t="s">
        <v>76</v>
      </c>
      <c r="H30" s="25" t="s">
        <v>75</v>
      </c>
    </row>
    <row r="31" spans="1:8" ht="17.25" customHeight="1" x14ac:dyDescent="0.3">
      <c r="A31" s="76"/>
      <c r="B31" s="148"/>
      <c r="C31" s="148"/>
      <c r="D31" s="148"/>
      <c r="E31" s="148"/>
      <c r="F31" s="148"/>
      <c r="G31" s="76"/>
      <c r="H31" s="76"/>
    </row>
    <row r="32" spans="1:8" ht="17.25" customHeight="1" x14ac:dyDescent="0.3">
      <c r="A32" s="25"/>
      <c r="B32" s="145"/>
      <c r="C32" s="145"/>
      <c r="D32" s="145"/>
      <c r="E32" s="145"/>
      <c r="F32" s="145"/>
      <c r="G32" s="25"/>
      <c r="H32" s="25"/>
    </row>
    <row r="33" spans="1:8" ht="17.25" customHeight="1" thickBot="1" x14ac:dyDescent="0.35">
      <c r="A33" s="65"/>
      <c r="B33" s="151"/>
      <c r="C33" s="151"/>
      <c r="D33" s="151"/>
      <c r="E33" s="151"/>
      <c r="F33" s="151"/>
      <c r="G33" s="65"/>
      <c r="H33" s="65"/>
    </row>
    <row r="34" spans="1:8" ht="17.25" customHeight="1" thickTop="1" x14ac:dyDescent="0.3"/>
    <row r="35" spans="1:8" ht="17.25" customHeight="1" x14ac:dyDescent="0.3">
      <c r="A35" s="2"/>
      <c r="B35" s="2"/>
      <c r="C35" s="2"/>
      <c r="D35" s="2"/>
      <c r="E35" s="2"/>
      <c r="F35" s="2"/>
      <c r="G35" s="22"/>
      <c r="H35" s="2"/>
    </row>
    <row r="36" spans="1:8" ht="17.25" customHeight="1" x14ac:dyDescent="0.3">
      <c r="A36" s="120" t="s">
        <v>141</v>
      </c>
      <c r="B36" s="120"/>
      <c r="C36" s="98"/>
      <c r="D36" s="98"/>
      <c r="E36" s="2"/>
      <c r="F36" s="2"/>
      <c r="G36" s="22"/>
      <c r="H36" s="2"/>
    </row>
    <row r="37" spans="1:8" ht="5.0999999999999996" customHeight="1" thickBot="1" x14ac:dyDescent="0.35">
      <c r="A37" s="2"/>
      <c r="B37" s="2"/>
      <c r="C37" s="2"/>
      <c r="D37" s="2"/>
      <c r="E37" s="2"/>
      <c r="F37" s="2"/>
      <c r="G37" s="2"/>
      <c r="H37" s="2"/>
    </row>
    <row r="38" spans="1:8" ht="17.25" customHeight="1" thickTop="1" x14ac:dyDescent="0.3">
      <c r="A38" s="66" t="s">
        <v>52</v>
      </c>
      <c r="B38" s="66" t="s">
        <v>47</v>
      </c>
      <c r="C38" s="66" t="s">
        <v>48</v>
      </c>
      <c r="D38" s="66" t="s">
        <v>39</v>
      </c>
      <c r="E38" s="66" t="s">
        <v>40</v>
      </c>
      <c r="F38" s="66" t="s">
        <v>41</v>
      </c>
      <c r="G38" s="66" t="s">
        <v>42</v>
      </c>
      <c r="H38" s="66" t="s">
        <v>43</v>
      </c>
    </row>
    <row r="39" spans="1:8" ht="17.25" customHeight="1" x14ac:dyDescent="0.3">
      <c r="A39" s="25">
        <v>4</v>
      </c>
      <c r="B39" s="25" t="s">
        <v>49</v>
      </c>
      <c r="C39" s="25" t="s">
        <v>50</v>
      </c>
      <c r="D39" s="71">
        <v>26955</v>
      </c>
      <c r="E39" s="71">
        <v>14835</v>
      </c>
      <c r="F39" s="69">
        <f>E39/D39</f>
        <v>0.55036171396772393</v>
      </c>
      <c r="G39" s="67">
        <v>10</v>
      </c>
      <c r="H39" s="67">
        <v>151954</v>
      </c>
    </row>
    <row r="40" spans="1:8" ht="17.25" customHeight="1" x14ac:dyDescent="0.3">
      <c r="A40" s="25">
        <v>5</v>
      </c>
      <c r="B40" s="25" t="s">
        <v>49</v>
      </c>
      <c r="C40" s="25" t="s">
        <v>50</v>
      </c>
      <c r="D40" s="71">
        <v>7820</v>
      </c>
      <c r="E40" s="71">
        <v>4538</v>
      </c>
      <c r="F40" s="69">
        <f t="shared" ref="F40:F41" si="0">E40/D40</f>
        <v>0.58030690537084395</v>
      </c>
      <c r="G40" s="67">
        <v>12</v>
      </c>
      <c r="H40" s="67">
        <v>54005</v>
      </c>
    </row>
    <row r="41" spans="1:8" ht="17.25" customHeight="1" x14ac:dyDescent="0.3">
      <c r="A41" s="25"/>
      <c r="B41" s="25"/>
      <c r="C41" s="25"/>
      <c r="D41" s="71"/>
      <c r="E41" s="71"/>
      <c r="F41" s="69"/>
      <c r="G41" s="67"/>
      <c r="H41" s="67"/>
    </row>
    <row r="42" spans="1:8" ht="17.25" customHeight="1" x14ac:dyDescent="0.3">
      <c r="A42" s="25"/>
      <c r="B42" s="25"/>
      <c r="C42" s="25"/>
      <c r="D42" s="71"/>
      <c r="E42" s="71"/>
      <c r="F42" s="69"/>
      <c r="G42" s="67"/>
      <c r="H42" s="67"/>
    </row>
    <row r="43" spans="1:8" ht="17.25" customHeight="1" x14ac:dyDescent="0.3">
      <c r="A43" s="25"/>
      <c r="B43" s="25"/>
      <c r="C43" s="25"/>
      <c r="D43" s="71"/>
      <c r="E43" s="71"/>
      <c r="F43" s="69"/>
      <c r="G43" s="67"/>
      <c r="H43" s="67"/>
    </row>
    <row r="44" spans="1:8" ht="17.25" customHeight="1" thickBot="1" x14ac:dyDescent="0.35">
      <c r="A44" s="27"/>
      <c r="B44" s="27"/>
      <c r="C44" s="27"/>
      <c r="D44" s="72"/>
      <c r="E44" s="72"/>
      <c r="F44" s="70"/>
      <c r="G44" s="68"/>
      <c r="H44" s="68"/>
    </row>
    <row r="45" spans="1:8" ht="20.100000000000001" customHeight="1" thickTop="1" thickBot="1" x14ac:dyDescent="0.35">
      <c r="A45" s="146" t="s">
        <v>44</v>
      </c>
      <c r="B45" s="146"/>
      <c r="C45" s="146"/>
      <c r="D45" s="74">
        <f>SUM(D39:D44)</f>
        <v>34775</v>
      </c>
      <c r="E45" s="74">
        <f>SUM(E39:E44)</f>
        <v>19373</v>
      </c>
      <c r="F45" s="73"/>
      <c r="G45" s="75">
        <f>H45/E45</f>
        <v>10.63123935373974</v>
      </c>
      <c r="H45" s="75">
        <f>SUM(H39:H44)</f>
        <v>205959</v>
      </c>
    </row>
    <row r="46" spans="1:8" ht="17.25" thickTop="1" x14ac:dyDescent="0.3"/>
  </sheetData>
  <mergeCells count="18">
    <mergeCell ref="A3:B4"/>
    <mergeCell ref="A18:B21"/>
    <mergeCell ref="B28:F28"/>
    <mergeCell ref="B33:F33"/>
    <mergeCell ref="A6:H16"/>
    <mergeCell ref="F18:H21"/>
    <mergeCell ref="C3:E4"/>
    <mergeCell ref="C18:E21"/>
    <mergeCell ref="B29:F29"/>
    <mergeCell ref="A45:C45"/>
    <mergeCell ref="A23:D23"/>
    <mergeCell ref="A36:D36"/>
    <mergeCell ref="B25:F25"/>
    <mergeCell ref="B26:F26"/>
    <mergeCell ref="B27:F27"/>
    <mergeCell ref="B32:F32"/>
    <mergeCell ref="B30:F30"/>
    <mergeCell ref="B31:F31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95" orientation="portrait" r:id="rId1"/>
  <headerFooter>
    <oddHeader>&amp;R&amp;G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C1CBA-22BF-4EEC-BC2F-0036761AB3E6}">
  <dimension ref="A3:H47"/>
  <sheetViews>
    <sheetView topLeftCell="A15" workbookViewId="0">
      <selection activeCell="N40" sqref="N40"/>
    </sheetView>
  </sheetViews>
  <sheetFormatPr defaultRowHeight="16.5" x14ac:dyDescent="0.3"/>
  <cols>
    <col min="1" max="1" width="3.375" customWidth="1"/>
    <col min="2" max="2" width="12.125" customWidth="1"/>
    <col min="3" max="7" width="12.625" customWidth="1"/>
    <col min="8" max="8" width="12.125" customWidth="1"/>
  </cols>
  <sheetData>
    <row r="3" spans="1:8" ht="17.25" customHeight="1" x14ac:dyDescent="0.3">
      <c r="A3" s="149" t="s">
        <v>66</v>
      </c>
      <c r="B3" s="149"/>
      <c r="C3" s="102" t="s">
        <v>64</v>
      </c>
      <c r="D3" s="102"/>
      <c r="E3" s="102"/>
    </row>
    <row r="4" spans="1:8" ht="17.25" customHeight="1" thickBot="1" x14ac:dyDescent="0.35">
      <c r="A4" s="150"/>
      <c r="B4" s="150"/>
      <c r="C4" s="103"/>
      <c r="D4" s="103"/>
      <c r="E4" s="103"/>
    </row>
    <row r="5" spans="1:8" ht="17.25" customHeight="1" thickBot="1" x14ac:dyDescent="0.35"/>
    <row r="6" spans="1:8" ht="17.25" customHeight="1" thickTop="1" x14ac:dyDescent="0.3">
      <c r="A6" s="77"/>
      <c r="B6" s="78"/>
      <c r="C6" s="78"/>
      <c r="D6" s="78"/>
      <c r="E6" s="78"/>
      <c r="F6" s="78"/>
      <c r="G6" s="78"/>
      <c r="H6" s="79"/>
    </row>
    <row r="7" spans="1:8" ht="17.25" customHeight="1" x14ac:dyDescent="0.3">
      <c r="A7" s="154" t="s">
        <v>79</v>
      </c>
      <c r="B7" s="155"/>
      <c r="C7" s="155"/>
      <c r="D7" s="155"/>
      <c r="E7" s="155"/>
      <c r="F7" s="155"/>
      <c r="G7" s="155"/>
      <c r="H7" s="156"/>
    </row>
    <row r="8" spans="1:8" ht="17.25" customHeight="1" x14ac:dyDescent="0.3">
      <c r="A8" s="157"/>
      <c r="B8" s="155"/>
      <c r="C8" s="155"/>
      <c r="D8" s="155"/>
      <c r="E8" s="155"/>
      <c r="F8" s="155"/>
      <c r="G8" s="155"/>
      <c r="H8" s="156"/>
    </row>
    <row r="9" spans="1:8" ht="17.25" customHeight="1" x14ac:dyDescent="0.3">
      <c r="A9" s="157"/>
      <c r="B9" s="155"/>
      <c r="C9" s="155"/>
      <c r="D9" s="155"/>
      <c r="E9" s="155"/>
      <c r="F9" s="155"/>
      <c r="G9" s="155"/>
      <c r="H9" s="156"/>
    </row>
    <row r="10" spans="1:8" ht="17.25" customHeight="1" x14ac:dyDescent="0.3">
      <c r="A10" s="157"/>
      <c r="B10" s="155"/>
      <c r="C10" s="155"/>
      <c r="D10" s="155"/>
      <c r="E10" s="155"/>
      <c r="F10" s="155"/>
      <c r="G10" s="155"/>
      <c r="H10" s="156"/>
    </row>
    <row r="11" spans="1:8" ht="17.25" customHeight="1" x14ac:dyDescent="0.3">
      <c r="A11" s="157"/>
      <c r="B11" s="155"/>
      <c r="C11" s="155"/>
      <c r="D11" s="155"/>
      <c r="E11" s="155"/>
      <c r="F11" s="155"/>
      <c r="G11" s="155"/>
      <c r="H11" s="156"/>
    </row>
    <row r="12" spans="1:8" ht="17.25" customHeight="1" x14ac:dyDescent="0.3">
      <c r="A12" s="157"/>
      <c r="B12" s="155"/>
      <c r="C12" s="155"/>
      <c r="D12" s="155"/>
      <c r="E12" s="155"/>
      <c r="F12" s="155"/>
      <c r="G12" s="155"/>
      <c r="H12" s="156"/>
    </row>
    <row r="13" spans="1:8" ht="17.25" customHeight="1" x14ac:dyDescent="0.3">
      <c r="A13" s="157"/>
      <c r="B13" s="155"/>
      <c r="C13" s="155"/>
      <c r="D13" s="155"/>
      <c r="E13" s="155"/>
      <c r="F13" s="155"/>
      <c r="G13" s="155"/>
      <c r="H13" s="156"/>
    </row>
    <row r="14" spans="1:8" ht="17.25" customHeight="1" x14ac:dyDescent="0.3">
      <c r="A14" s="157"/>
      <c r="B14" s="155"/>
      <c r="C14" s="155"/>
      <c r="D14" s="155"/>
      <c r="E14" s="155"/>
      <c r="F14" s="155"/>
      <c r="G14" s="155"/>
      <c r="H14" s="156"/>
    </row>
    <row r="15" spans="1:8" ht="17.25" customHeight="1" x14ac:dyDescent="0.3">
      <c r="A15" s="157"/>
      <c r="B15" s="155"/>
      <c r="C15" s="155"/>
      <c r="D15" s="155"/>
      <c r="E15" s="155"/>
      <c r="F15" s="155"/>
      <c r="G15" s="155"/>
      <c r="H15" s="156"/>
    </row>
    <row r="16" spans="1:8" ht="17.25" customHeight="1" x14ac:dyDescent="0.3">
      <c r="A16" s="157"/>
      <c r="B16" s="155"/>
      <c r="C16" s="155"/>
      <c r="D16" s="155"/>
      <c r="E16" s="155"/>
      <c r="F16" s="155"/>
      <c r="G16" s="155"/>
      <c r="H16" s="156"/>
    </row>
    <row r="17" spans="1:8" ht="17.25" customHeight="1" x14ac:dyDescent="0.3">
      <c r="A17" s="157"/>
      <c r="B17" s="155"/>
      <c r="C17" s="155"/>
      <c r="D17" s="155"/>
      <c r="E17" s="155"/>
      <c r="F17" s="155"/>
      <c r="G17" s="155"/>
      <c r="H17" s="156"/>
    </row>
    <row r="18" spans="1:8" ht="17.25" customHeight="1" x14ac:dyDescent="0.3">
      <c r="A18" s="157"/>
      <c r="B18" s="155"/>
      <c r="C18" s="155"/>
      <c r="D18" s="155"/>
      <c r="E18" s="155"/>
      <c r="F18" s="155"/>
      <c r="G18" s="155"/>
      <c r="H18" s="156"/>
    </row>
    <row r="19" spans="1:8" ht="17.25" customHeight="1" x14ac:dyDescent="0.3">
      <c r="A19" s="157"/>
      <c r="B19" s="155"/>
      <c r="C19" s="155"/>
      <c r="D19" s="155"/>
      <c r="E19" s="155"/>
      <c r="F19" s="155"/>
      <c r="G19" s="155"/>
      <c r="H19" s="156"/>
    </row>
    <row r="20" spans="1:8" ht="17.25" customHeight="1" x14ac:dyDescent="0.3">
      <c r="A20" s="157"/>
      <c r="B20" s="155"/>
      <c r="C20" s="155"/>
      <c r="D20" s="155"/>
      <c r="E20" s="155"/>
      <c r="F20" s="155"/>
      <c r="G20" s="155"/>
      <c r="H20" s="156"/>
    </row>
    <row r="21" spans="1:8" ht="17.25" customHeight="1" x14ac:dyDescent="0.3">
      <c r="A21" s="157"/>
      <c r="B21" s="155"/>
      <c r="C21" s="155"/>
      <c r="D21" s="155"/>
      <c r="E21" s="155"/>
      <c r="F21" s="155"/>
      <c r="G21" s="155"/>
      <c r="H21" s="156"/>
    </row>
    <row r="22" spans="1:8" ht="17.25" customHeight="1" x14ac:dyDescent="0.3">
      <c r="A22" s="157"/>
      <c r="B22" s="155"/>
      <c r="C22" s="155"/>
      <c r="D22" s="155"/>
      <c r="E22" s="155"/>
      <c r="F22" s="155"/>
      <c r="G22" s="155"/>
      <c r="H22" s="156"/>
    </row>
    <row r="23" spans="1:8" ht="17.25" customHeight="1" x14ac:dyDescent="0.3">
      <c r="A23" s="157"/>
      <c r="B23" s="155"/>
      <c r="C23" s="155"/>
      <c r="D23" s="155"/>
      <c r="E23" s="155"/>
      <c r="F23" s="155"/>
      <c r="G23" s="155"/>
      <c r="H23" s="156"/>
    </row>
    <row r="24" spans="1:8" ht="5.0999999999999996" customHeight="1" x14ac:dyDescent="0.3">
      <c r="A24" s="157"/>
      <c r="B24" s="155"/>
      <c r="C24" s="155"/>
      <c r="D24" s="155"/>
      <c r="E24" s="155"/>
      <c r="F24" s="155"/>
      <c r="G24" s="155"/>
      <c r="H24" s="156"/>
    </row>
    <row r="25" spans="1:8" ht="17.25" customHeight="1" x14ac:dyDescent="0.3">
      <c r="A25" s="157"/>
      <c r="B25" s="155"/>
      <c r="C25" s="155"/>
      <c r="D25" s="155"/>
      <c r="E25" s="155"/>
      <c r="F25" s="155"/>
      <c r="G25" s="155"/>
      <c r="H25" s="156"/>
    </row>
    <row r="26" spans="1:8" ht="17.25" customHeight="1" x14ac:dyDescent="0.3">
      <c r="A26" s="157"/>
      <c r="B26" s="155"/>
      <c r="C26" s="155"/>
      <c r="D26" s="155"/>
      <c r="E26" s="155"/>
      <c r="F26" s="155"/>
      <c r="G26" s="155"/>
      <c r="H26" s="156"/>
    </row>
    <row r="27" spans="1:8" ht="17.25" customHeight="1" x14ac:dyDescent="0.3">
      <c r="A27" s="157"/>
      <c r="B27" s="155"/>
      <c r="C27" s="155"/>
      <c r="D27" s="155"/>
      <c r="E27" s="155"/>
      <c r="F27" s="155"/>
      <c r="G27" s="155"/>
      <c r="H27" s="156"/>
    </row>
    <row r="28" spans="1:8" ht="17.25" customHeight="1" x14ac:dyDescent="0.3">
      <c r="A28" s="157"/>
      <c r="B28" s="155"/>
      <c r="C28" s="155"/>
      <c r="D28" s="155"/>
      <c r="E28" s="155"/>
      <c r="F28" s="155"/>
      <c r="G28" s="155"/>
      <c r="H28" s="156"/>
    </row>
    <row r="29" spans="1:8" ht="17.25" customHeight="1" x14ac:dyDescent="0.3">
      <c r="A29" s="157"/>
      <c r="B29" s="155"/>
      <c r="C29" s="155"/>
      <c r="D29" s="155"/>
      <c r="E29" s="155"/>
      <c r="F29" s="155"/>
      <c r="G29" s="155"/>
      <c r="H29" s="156"/>
    </row>
    <row r="30" spans="1:8" ht="17.25" customHeight="1" x14ac:dyDescent="0.3">
      <c r="A30" s="157"/>
      <c r="B30" s="155"/>
      <c r="C30" s="155"/>
      <c r="D30" s="155"/>
      <c r="E30" s="155"/>
      <c r="F30" s="155"/>
      <c r="G30" s="155"/>
      <c r="H30" s="156"/>
    </row>
    <row r="31" spans="1:8" ht="17.25" customHeight="1" x14ac:dyDescent="0.3">
      <c r="A31" s="157"/>
      <c r="B31" s="155"/>
      <c r="C31" s="155"/>
      <c r="D31" s="155"/>
      <c r="E31" s="155"/>
      <c r="F31" s="155"/>
      <c r="G31" s="155"/>
      <c r="H31" s="156"/>
    </row>
    <row r="32" spans="1:8" ht="17.25" customHeight="1" x14ac:dyDescent="0.3">
      <c r="A32" s="157"/>
      <c r="B32" s="155"/>
      <c r="C32" s="155"/>
      <c r="D32" s="155"/>
      <c r="E32" s="155"/>
      <c r="F32" s="155"/>
      <c r="G32" s="155"/>
      <c r="H32" s="156"/>
    </row>
    <row r="33" spans="1:8" ht="17.25" customHeight="1" x14ac:dyDescent="0.3">
      <c r="A33" s="157"/>
      <c r="B33" s="155"/>
      <c r="C33" s="155"/>
      <c r="D33" s="155"/>
      <c r="E33" s="155"/>
      <c r="F33" s="155"/>
      <c r="G33" s="155"/>
      <c r="H33" s="156"/>
    </row>
    <row r="34" spans="1:8" ht="17.25" customHeight="1" x14ac:dyDescent="0.3">
      <c r="A34" s="157"/>
      <c r="B34" s="155"/>
      <c r="C34" s="155"/>
      <c r="D34" s="155"/>
      <c r="E34" s="155"/>
      <c r="F34" s="155"/>
      <c r="G34" s="155"/>
      <c r="H34" s="156"/>
    </row>
    <row r="35" spans="1:8" ht="17.25" customHeight="1" x14ac:dyDescent="0.3">
      <c r="A35" s="157"/>
      <c r="B35" s="155"/>
      <c r="C35" s="155"/>
      <c r="D35" s="155"/>
      <c r="E35" s="155"/>
      <c r="F35" s="155"/>
      <c r="G35" s="155"/>
      <c r="H35" s="156"/>
    </row>
    <row r="36" spans="1:8" ht="5.0999999999999996" customHeight="1" x14ac:dyDescent="0.3">
      <c r="A36" s="157"/>
      <c r="B36" s="155"/>
      <c r="C36" s="155"/>
      <c r="D36" s="155"/>
      <c r="E36" s="155"/>
      <c r="F36" s="155"/>
      <c r="G36" s="155"/>
      <c r="H36" s="156"/>
    </row>
    <row r="37" spans="1:8" ht="17.25" customHeight="1" x14ac:dyDescent="0.3">
      <c r="A37" s="157"/>
      <c r="B37" s="155"/>
      <c r="C37" s="155"/>
      <c r="D37" s="155"/>
      <c r="E37" s="155"/>
      <c r="F37" s="155"/>
      <c r="G37" s="155"/>
      <c r="H37" s="156"/>
    </row>
    <row r="38" spans="1:8" ht="17.25" customHeight="1" x14ac:dyDescent="0.3">
      <c r="A38" s="157"/>
      <c r="B38" s="155"/>
      <c r="C38" s="155"/>
      <c r="D38" s="155"/>
      <c r="E38" s="155"/>
      <c r="F38" s="155"/>
      <c r="G38" s="155"/>
      <c r="H38" s="156"/>
    </row>
    <row r="39" spans="1:8" ht="17.25" customHeight="1" x14ac:dyDescent="0.3">
      <c r="A39" s="157"/>
      <c r="B39" s="155"/>
      <c r="C39" s="155"/>
      <c r="D39" s="155"/>
      <c r="E39" s="155"/>
      <c r="F39" s="155"/>
      <c r="G39" s="155"/>
      <c r="H39" s="156"/>
    </row>
    <row r="40" spans="1:8" ht="17.25" customHeight="1" x14ac:dyDescent="0.3">
      <c r="A40" s="157"/>
      <c r="B40" s="155"/>
      <c r="C40" s="155"/>
      <c r="D40" s="155"/>
      <c r="E40" s="155"/>
      <c r="F40" s="155"/>
      <c r="G40" s="155"/>
      <c r="H40" s="156"/>
    </row>
    <row r="41" spans="1:8" ht="17.25" customHeight="1" x14ac:dyDescent="0.3">
      <c r="A41" s="157"/>
      <c r="B41" s="155"/>
      <c r="C41" s="155"/>
      <c r="D41" s="155"/>
      <c r="E41" s="155"/>
      <c r="F41" s="155"/>
      <c r="G41" s="155"/>
      <c r="H41" s="156"/>
    </row>
    <row r="42" spans="1:8" ht="17.25" customHeight="1" x14ac:dyDescent="0.3">
      <c r="A42" s="157"/>
      <c r="B42" s="155"/>
      <c r="C42" s="155"/>
      <c r="D42" s="155"/>
      <c r="E42" s="155"/>
      <c r="F42" s="155"/>
      <c r="G42" s="155"/>
      <c r="H42" s="156"/>
    </row>
    <row r="43" spans="1:8" ht="17.25" customHeight="1" x14ac:dyDescent="0.3">
      <c r="A43" s="157"/>
      <c r="B43" s="155"/>
      <c r="C43" s="155"/>
      <c r="D43" s="155"/>
      <c r="E43" s="155"/>
      <c r="F43" s="155"/>
      <c r="G43" s="155"/>
      <c r="H43" s="156"/>
    </row>
    <row r="44" spans="1:8" ht="17.25" customHeight="1" x14ac:dyDescent="0.3">
      <c r="A44" s="157"/>
      <c r="B44" s="155"/>
      <c r="C44" s="155"/>
      <c r="D44" s="155"/>
      <c r="E44" s="155"/>
      <c r="F44" s="155"/>
      <c r="G44" s="155"/>
      <c r="H44" s="156"/>
    </row>
    <row r="45" spans="1:8" ht="17.25" customHeight="1" x14ac:dyDescent="0.3">
      <c r="A45" s="157"/>
      <c r="B45" s="155"/>
      <c r="C45" s="155"/>
      <c r="D45" s="155"/>
      <c r="E45" s="155"/>
      <c r="F45" s="155"/>
      <c r="G45" s="155"/>
      <c r="H45" s="156"/>
    </row>
    <row r="46" spans="1:8" ht="20.100000000000001" customHeight="1" thickBot="1" x14ac:dyDescent="0.35">
      <c r="A46" s="158"/>
      <c r="B46" s="159"/>
      <c r="C46" s="159"/>
      <c r="D46" s="159"/>
      <c r="E46" s="159"/>
      <c r="F46" s="159"/>
      <c r="G46" s="159"/>
      <c r="H46" s="160"/>
    </row>
    <row r="47" spans="1:8" ht="17.25" thickTop="1" x14ac:dyDescent="0.3"/>
  </sheetData>
  <mergeCells count="3">
    <mergeCell ref="A7:H46"/>
    <mergeCell ref="A3:B4"/>
    <mergeCell ref="C3:E4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95" orientation="portrait" r:id="rId1"/>
  <headerFooter>
    <oddHeader>&amp;R&amp;G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9E46-07B3-4E4D-84BC-25DCF355F1E3}">
  <dimension ref="A3:H47"/>
  <sheetViews>
    <sheetView workbookViewId="0">
      <selection activeCell="N37" sqref="N37"/>
    </sheetView>
  </sheetViews>
  <sheetFormatPr defaultRowHeight="16.5" x14ac:dyDescent="0.3"/>
  <cols>
    <col min="1" max="1" width="3.375" customWidth="1"/>
    <col min="2" max="2" width="12.125" customWidth="1"/>
    <col min="3" max="7" width="12.625" customWidth="1"/>
    <col min="8" max="8" width="12.125" customWidth="1"/>
  </cols>
  <sheetData>
    <row r="3" spans="1:8" ht="17.25" customHeight="1" x14ac:dyDescent="0.3">
      <c r="A3" s="149" t="s">
        <v>66</v>
      </c>
      <c r="B3" s="149"/>
      <c r="C3" s="102" t="s">
        <v>64</v>
      </c>
      <c r="D3" s="102"/>
      <c r="E3" s="102"/>
    </row>
    <row r="4" spans="1:8" ht="17.25" customHeight="1" thickBot="1" x14ac:dyDescent="0.35">
      <c r="A4" s="150"/>
      <c r="B4" s="150"/>
      <c r="C4" s="103"/>
      <c r="D4" s="103"/>
      <c r="E4" s="103"/>
    </row>
    <row r="5" spans="1:8" ht="17.25" customHeight="1" thickBot="1" x14ac:dyDescent="0.35"/>
    <row r="6" spans="1:8" ht="17.25" customHeight="1" thickTop="1" x14ac:dyDescent="0.3">
      <c r="A6" s="77"/>
      <c r="B6" s="78"/>
      <c r="C6" s="78"/>
      <c r="D6" s="78"/>
      <c r="E6" s="78"/>
      <c r="F6" s="78"/>
      <c r="G6" s="78"/>
      <c r="H6" s="79"/>
    </row>
    <row r="7" spans="1:8" ht="17.25" customHeight="1" x14ac:dyDescent="0.3">
      <c r="A7" s="154" t="s">
        <v>80</v>
      </c>
      <c r="B7" s="155"/>
      <c r="C7" s="155"/>
      <c r="D7" s="155"/>
      <c r="E7" s="155"/>
      <c r="F7" s="155"/>
      <c r="G7" s="155"/>
      <c r="H7" s="156"/>
    </row>
    <row r="8" spans="1:8" ht="17.25" customHeight="1" x14ac:dyDescent="0.3">
      <c r="A8" s="157"/>
      <c r="B8" s="155"/>
      <c r="C8" s="155"/>
      <c r="D8" s="155"/>
      <c r="E8" s="155"/>
      <c r="F8" s="155"/>
      <c r="G8" s="155"/>
      <c r="H8" s="156"/>
    </row>
    <row r="9" spans="1:8" ht="17.25" customHeight="1" x14ac:dyDescent="0.3">
      <c r="A9" s="157"/>
      <c r="B9" s="155"/>
      <c r="C9" s="155"/>
      <c r="D9" s="155"/>
      <c r="E9" s="155"/>
      <c r="F9" s="155"/>
      <c r="G9" s="155"/>
      <c r="H9" s="156"/>
    </row>
    <row r="10" spans="1:8" ht="17.25" customHeight="1" x14ac:dyDescent="0.3">
      <c r="A10" s="157"/>
      <c r="B10" s="155"/>
      <c r="C10" s="155"/>
      <c r="D10" s="155"/>
      <c r="E10" s="155"/>
      <c r="F10" s="155"/>
      <c r="G10" s="155"/>
      <c r="H10" s="156"/>
    </row>
    <row r="11" spans="1:8" ht="17.25" customHeight="1" x14ac:dyDescent="0.3">
      <c r="A11" s="157"/>
      <c r="B11" s="155"/>
      <c r="C11" s="155"/>
      <c r="D11" s="155"/>
      <c r="E11" s="155"/>
      <c r="F11" s="155"/>
      <c r="G11" s="155"/>
      <c r="H11" s="156"/>
    </row>
    <row r="12" spans="1:8" ht="17.25" customHeight="1" x14ac:dyDescent="0.3">
      <c r="A12" s="157"/>
      <c r="B12" s="155"/>
      <c r="C12" s="155"/>
      <c r="D12" s="155"/>
      <c r="E12" s="155"/>
      <c r="F12" s="155"/>
      <c r="G12" s="155"/>
      <c r="H12" s="156"/>
    </row>
    <row r="13" spans="1:8" ht="17.25" customHeight="1" x14ac:dyDescent="0.3">
      <c r="A13" s="157"/>
      <c r="B13" s="155"/>
      <c r="C13" s="155"/>
      <c r="D13" s="155"/>
      <c r="E13" s="155"/>
      <c r="F13" s="155"/>
      <c r="G13" s="155"/>
      <c r="H13" s="156"/>
    </row>
    <row r="14" spans="1:8" ht="17.25" customHeight="1" x14ac:dyDescent="0.3">
      <c r="A14" s="157"/>
      <c r="B14" s="155"/>
      <c r="C14" s="155"/>
      <c r="D14" s="155"/>
      <c r="E14" s="155"/>
      <c r="F14" s="155"/>
      <c r="G14" s="155"/>
      <c r="H14" s="156"/>
    </row>
    <row r="15" spans="1:8" ht="17.25" customHeight="1" x14ac:dyDescent="0.3">
      <c r="A15" s="157"/>
      <c r="B15" s="155"/>
      <c r="C15" s="155"/>
      <c r="D15" s="155"/>
      <c r="E15" s="155"/>
      <c r="F15" s="155"/>
      <c r="G15" s="155"/>
      <c r="H15" s="156"/>
    </row>
    <row r="16" spans="1:8" ht="17.25" customHeight="1" x14ac:dyDescent="0.3">
      <c r="A16" s="157"/>
      <c r="B16" s="155"/>
      <c r="C16" s="155"/>
      <c r="D16" s="155"/>
      <c r="E16" s="155"/>
      <c r="F16" s="155"/>
      <c r="G16" s="155"/>
      <c r="H16" s="156"/>
    </row>
    <row r="17" spans="1:8" ht="17.25" customHeight="1" x14ac:dyDescent="0.3">
      <c r="A17" s="157"/>
      <c r="B17" s="155"/>
      <c r="C17" s="155"/>
      <c r="D17" s="155"/>
      <c r="E17" s="155"/>
      <c r="F17" s="155"/>
      <c r="G17" s="155"/>
      <c r="H17" s="156"/>
    </row>
    <row r="18" spans="1:8" ht="17.25" customHeight="1" x14ac:dyDescent="0.3">
      <c r="A18" s="157"/>
      <c r="B18" s="155"/>
      <c r="C18" s="155"/>
      <c r="D18" s="155"/>
      <c r="E18" s="155"/>
      <c r="F18" s="155"/>
      <c r="G18" s="155"/>
      <c r="H18" s="156"/>
    </row>
    <row r="19" spans="1:8" ht="17.25" customHeight="1" x14ac:dyDescent="0.3">
      <c r="A19" s="157"/>
      <c r="B19" s="155"/>
      <c r="C19" s="155"/>
      <c r="D19" s="155"/>
      <c r="E19" s="155"/>
      <c r="F19" s="155"/>
      <c r="G19" s="155"/>
      <c r="H19" s="156"/>
    </row>
    <row r="20" spans="1:8" ht="17.25" customHeight="1" x14ac:dyDescent="0.3">
      <c r="A20" s="157"/>
      <c r="B20" s="155"/>
      <c r="C20" s="155"/>
      <c r="D20" s="155"/>
      <c r="E20" s="155"/>
      <c r="F20" s="155"/>
      <c r="G20" s="155"/>
      <c r="H20" s="156"/>
    </row>
    <row r="21" spans="1:8" ht="17.25" customHeight="1" x14ac:dyDescent="0.3">
      <c r="A21" s="157"/>
      <c r="B21" s="155"/>
      <c r="C21" s="155"/>
      <c r="D21" s="155"/>
      <c r="E21" s="155"/>
      <c r="F21" s="155"/>
      <c r="G21" s="155"/>
      <c r="H21" s="156"/>
    </row>
    <row r="22" spans="1:8" ht="17.25" customHeight="1" x14ac:dyDescent="0.3">
      <c r="A22" s="157"/>
      <c r="B22" s="155"/>
      <c r="C22" s="155"/>
      <c r="D22" s="155"/>
      <c r="E22" s="155"/>
      <c r="F22" s="155"/>
      <c r="G22" s="155"/>
      <c r="H22" s="156"/>
    </row>
    <row r="23" spans="1:8" ht="17.25" customHeight="1" x14ac:dyDescent="0.3">
      <c r="A23" s="157"/>
      <c r="B23" s="155"/>
      <c r="C23" s="155"/>
      <c r="D23" s="155"/>
      <c r="E23" s="155"/>
      <c r="F23" s="155"/>
      <c r="G23" s="155"/>
      <c r="H23" s="156"/>
    </row>
    <row r="24" spans="1:8" ht="5.0999999999999996" customHeight="1" x14ac:dyDescent="0.3">
      <c r="A24" s="157"/>
      <c r="B24" s="155"/>
      <c r="C24" s="155"/>
      <c r="D24" s="155"/>
      <c r="E24" s="155"/>
      <c r="F24" s="155"/>
      <c r="G24" s="155"/>
      <c r="H24" s="156"/>
    </row>
    <row r="25" spans="1:8" ht="17.25" customHeight="1" x14ac:dyDescent="0.3">
      <c r="A25" s="157"/>
      <c r="B25" s="155"/>
      <c r="C25" s="155"/>
      <c r="D25" s="155"/>
      <c r="E25" s="155"/>
      <c r="F25" s="155"/>
      <c r="G25" s="155"/>
      <c r="H25" s="156"/>
    </row>
    <row r="26" spans="1:8" ht="17.25" customHeight="1" x14ac:dyDescent="0.3">
      <c r="A26" s="157"/>
      <c r="B26" s="155"/>
      <c r="C26" s="155"/>
      <c r="D26" s="155"/>
      <c r="E26" s="155"/>
      <c r="F26" s="155"/>
      <c r="G26" s="155"/>
      <c r="H26" s="156"/>
    </row>
    <row r="27" spans="1:8" ht="17.25" customHeight="1" x14ac:dyDescent="0.3">
      <c r="A27" s="157"/>
      <c r="B27" s="155"/>
      <c r="C27" s="155"/>
      <c r="D27" s="155"/>
      <c r="E27" s="155"/>
      <c r="F27" s="155"/>
      <c r="G27" s="155"/>
      <c r="H27" s="156"/>
    </row>
    <row r="28" spans="1:8" ht="17.25" customHeight="1" x14ac:dyDescent="0.3">
      <c r="A28" s="157"/>
      <c r="B28" s="155"/>
      <c r="C28" s="155"/>
      <c r="D28" s="155"/>
      <c r="E28" s="155"/>
      <c r="F28" s="155"/>
      <c r="G28" s="155"/>
      <c r="H28" s="156"/>
    </row>
    <row r="29" spans="1:8" ht="17.25" customHeight="1" x14ac:dyDescent="0.3">
      <c r="A29" s="157"/>
      <c r="B29" s="155"/>
      <c r="C29" s="155"/>
      <c r="D29" s="155"/>
      <c r="E29" s="155"/>
      <c r="F29" s="155"/>
      <c r="G29" s="155"/>
      <c r="H29" s="156"/>
    </row>
    <row r="30" spans="1:8" ht="17.25" customHeight="1" x14ac:dyDescent="0.3">
      <c r="A30" s="157"/>
      <c r="B30" s="155"/>
      <c r="C30" s="155"/>
      <c r="D30" s="155"/>
      <c r="E30" s="155"/>
      <c r="F30" s="155"/>
      <c r="G30" s="155"/>
      <c r="H30" s="156"/>
    </row>
    <row r="31" spans="1:8" ht="17.25" customHeight="1" x14ac:dyDescent="0.3">
      <c r="A31" s="157"/>
      <c r="B31" s="155"/>
      <c r="C31" s="155"/>
      <c r="D31" s="155"/>
      <c r="E31" s="155"/>
      <c r="F31" s="155"/>
      <c r="G31" s="155"/>
      <c r="H31" s="156"/>
    </row>
    <row r="32" spans="1:8" ht="17.25" customHeight="1" x14ac:dyDescent="0.3">
      <c r="A32" s="157"/>
      <c r="B32" s="155"/>
      <c r="C32" s="155"/>
      <c r="D32" s="155"/>
      <c r="E32" s="155"/>
      <c r="F32" s="155"/>
      <c r="G32" s="155"/>
      <c r="H32" s="156"/>
    </row>
    <row r="33" spans="1:8" ht="17.25" customHeight="1" x14ac:dyDescent="0.3">
      <c r="A33" s="157"/>
      <c r="B33" s="155"/>
      <c r="C33" s="155"/>
      <c r="D33" s="155"/>
      <c r="E33" s="155"/>
      <c r="F33" s="155"/>
      <c r="G33" s="155"/>
      <c r="H33" s="156"/>
    </row>
    <row r="34" spans="1:8" ht="17.25" customHeight="1" x14ac:dyDescent="0.3">
      <c r="A34" s="157"/>
      <c r="B34" s="155"/>
      <c r="C34" s="155"/>
      <c r="D34" s="155"/>
      <c r="E34" s="155"/>
      <c r="F34" s="155"/>
      <c r="G34" s="155"/>
      <c r="H34" s="156"/>
    </row>
    <row r="35" spans="1:8" ht="17.25" customHeight="1" x14ac:dyDescent="0.3">
      <c r="A35" s="157"/>
      <c r="B35" s="155"/>
      <c r="C35" s="155"/>
      <c r="D35" s="155"/>
      <c r="E35" s="155"/>
      <c r="F35" s="155"/>
      <c r="G35" s="155"/>
      <c r="H35" s="156"/>
    </row>
    <row r="36" spans="1:8" ht="5.0999999999999996" customHeight="1" x14ac:dyDescent="0.3">
      <c r="A36" s="157"/>
      <c r="B36" s="155"/>
      <c r="C36" s="155"/>
      <c r="D36" s="155"/>
      <c r="E36" s="155"/>
      <c r="F36" s="155"/>
      <c r="G36" s="155"/>
      <c r="H36" s="156"/>
    </row>
    <row r="37" spans="1:8" ht="17.25" customHeight="1" x14ac:dyDescent="0.3">
      <c r="A37" s="157"/>
      <c r="B37" s="155"/>
      <c r="C37" s="155"/>
      <c r="D37" s="155"/>
      <c r="E37" s="155"/>
      <c r="F37" s="155"/>
      <c r="G37" s="155"/>
      <c r="H37" s="156"/>
    </row>
    <row r="38" spans="1:8" ht="17.25" customHeight="1" x14ac:dyDescent="0.3">
      <c r="A38" s="157"/>
      <c r="B38" s="155"/>
      <c r="C38" s="155"/>
      <c r="D38" s="155"/>
      <c r="E38" s="155"/>
      <c r="F38" s="155"/>
      <c r="G38" s="155"/>
      <c r="H38" s="156"/>
    </row>
    <row r="39" spans="1:8" ht="17.25" customHeight="1" x14ac:dyDescent="0.3">
      <c r="A39" s="157"/>
      <c r="B39" s="155"/>
      <c r="C39" s="155"/>
      <c r="D39" s="155"/>
      <c r="E39" s="155"/>
      <c r="F39" s="155"/>
      <c r="G39" s="155"/>
      <c r="H39" s="156"/>
    </row>
    <row r="40" spans="1:8" ht="17.25" customHeight="1" x14ac:dyDescent="0.3">
      <c r="A40" s="157"/>
      <c r="B40" s="155"/>
      <c r="C40" s="155"/>
      <c r="D40" s="155"/>
      <c r="E40" s="155"/>
      <c r="F40" s="155"/>
      <c r="G40" s="155"/>
      <c r="H40" s="156"/>
    </row>
    <row r="41" spans="1:8" ht="17.25" customHeight="1" x14ac:dyDescent="0.3">
      <c r="A41" s="157"/>
      <c r="B41" s="155"/>
      <c r="C41" s="155"/>
      <c r="D41" s="155"/>
      <c r="E41" s="155"/>
      <c r="F41" s="155"/>
      <c r="G41" s="155"/>
      <c r="H41" s="156"/>
    </row>
    <row r="42" spans="1:8" ht="17.25" customHeight="1" x14ac:dyDescent="0.3">
      <c r="A42" s="157"/>
      <c r="B42" s="155"/>
      <c r="C42" s="155"/>
      <c r="D42" s="155"/>
      <c r="E42" s="155"/>
      <c r="F42" s="155"/>
      <c r="G42" s="155"/>
      <c r="H42" s="156"/>
    </row>
    <row r="43" spans="1:8" ht="17.25" customHeight="1" x14ac:dyDescent="0.3">
      <c r="A43" s="157"/>
      <c r="B43" s="155"/>
      <c r="C43" s="155"/>
      <c r="D43" s="155"/>
      <c r="E43" s="155"/>
      <c r="F43" s="155"/>
      <c r="G43" s="155"/>
      <c r="H43" s="156"/>
    </row>
    <row r="44" spans="1:8" ht="17.25" customHeight="1" x14ac:dyDescent="0.3">
      <c r="A44" s="157"/>
      <c r="B44" s="155"/>
      <c r="C44" s="155"/>
      <c r="D44" s="155"/>
      <c r="E44" s="155"/>
      <c r="F44" s="155"/>
      <c r="G44" s="155"/>
      <c r="H44" s="156"/>
    </row>
    <row r="45" spans="1:8" ht="17.25" customHeight="1" x14ac:dyDescent="0.3">
      <c r="A45" s="157"/>
      <c r="B45" s="155"/>
      <c r="C45" s="155"/>
      <c r="D45" s="155"/>
      <c r="E45" s="155"/>
      <c r="F45" s="155"/>
      <c r="G45" s="155"/>
      <c r="H45" s="156"/>
    </row>
    <row r="46" spans="1:8" ht="20.100000000000001" customHeight="1" thickBot="1" x14ac:dyDescent="0.35">
      <c r="A46" s="158"/>
      <c r="B46" s="159"/>
      <c r="C46" s="159"/>
      <c r="D46" s="159"/>
      <c r="E46" s="159"/>
      <c r="F46" s="159"/>
      <c r="G46" s="159"/>
      <c r="H46" s="160"/>
    </row>
    <row r="47" spans="1:8" ht="17.25" thickTop="1" x14ac:dyDescent="0.3"/>
  </sheetData>
  <mergeCells count="3">
    <mergeCell ref="A3:B4"/>
    <mergeCell ref="C3:E4"/>
    <mergeCell ref="A7:H46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95" orientation="portrait" r:id="rId1"/>
  <headerFooter>
    <oddHeader>&amp;R&amp;G</oddHead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5550D-9B5C-41AE-A800-DEDC7D89D12E}">
  <dimension ref="A3:H47"/>
  <sheetViews>
    <sheetView topLeftCell="A4" workbookViewId="0">
      <selection activeCell="A7" sqref="A7:H46"/>
    </sheetView>
  </sheetViews>
  <sheetFormatPr defaultRowHeight="16.5" x14ac:dyDescent="0.3"/>
  <cols>
    <col min="1" max="1" width="3.375" customWidth="1"/>
    <col min="2" max="2" width="12.125" customWidth="1"/>
    <col min="3" max="7" width="12.625" customWidth="1"/>
    <col min="8" max="8" width="12.125" customWidth="1"/>
  </cols>
  <sheetData>
    <row r="3" spans="1:8" ht="17.25" customHeight="1" x14ac:dyDescent="0.3">
      <c r="A3" s="149" t="s">
        <v>66</v>
      </c>
      <c r="B3" s="149"/>
      <c r="C3" s="102" t="s">
        <v>64</v>
      </c>
      <c r="D3" s="102"/>
      <c r="E3" s="102"/>
    </row>
    <row r="4" spans="1:8" ht="17.25" customHeight="1" thickBot="1" x14ac:dyDescent="0.35">
      <c r="A4" s="150"/>
      <c r="B4" s="150"/>
      <c r="C4" s="103"/>
      <c r="D4" s="103"/>
      <c r="E4" s="103"/>
    </row>
    <row r="5" spans="1:8" ht="17.25" customHeight="1" thickBot="1" x14ac:dyDescent="0.35"/>
    <row r="6" spans="1:8" ht="17.25" customHeight="1" thickTop="1" x14ac:dyDescent="0.3">
      <c r="A6" s="77"/>
      <c r="B6" s="78"/>
      <c r="C6" s="78"/>
      <c r="D6" s="78"/>
      <c r="E6" s="78"/>
      <c r="F6" s="78"/>
      <c r="G6" s="78"/>
      <c r="H6" s="79"/>
    </row>
    <row r="7" spans="1:8" ht="17.25" customHeight="1" x14ac:dyDescent="0.3">
      <c r="A7" s="154" t="s">
        <v>142</v>
      </c>
      <c r="B7" s="155"/>
      <c r="C7" s="155"/>
      <c r="D7" s="155"/>
      <c r="E7" s="155"/>
      <c r="F7" s="155"/>
      <c r="G7" s="155"/>
      <c r="H7" s="156"/>
    </row>
    <row r="8" spans="1:8" ht="17.25" customHeight="1" x14ac:dyDescent="0.3">
      <c r="A8" s="157"/>
      <c r="B8" s="155"/>
      <c r="C8" s="155"/>
      <c r="D8" s="155"/>
      <c r="E8" s="155"/>
      <c r="F8" s="155"/>
      <c r="G8" s="155"/>
      <c r="H8" s="156"/>
    </row>
    <row r="9" spans="1:8" ht="17.25" customHeight="1" x14ac:dyDescent="0.3">
      <c r="A9" s="157"/>
      <c r="B9" s="155"/>
      <c r="C9" s="155"/>
      <c r="D9" s="155"/>
      <c r="E9" s="155"/>
      <c r="F9" s="155"/>
      <c r="G9" s="155"/>
      <c r="H9" s="156"/>
    </row>
    <row r="10" spans="1:8" ht="17.25" customHeight="1" x14ac:dyDescent="0.3">
      <c r="A10" s="157"/>
      <c r="B10" s="155"/>
      <c r="C10" s="155"/>
      <c r="D10" s="155"/>
      <c r="E10" s="155"/>
      <c r="F10" s="155"/>
      <c r="G10" s="155"/>
      <c r="H10" s="156"/>
    </row>
    <row r="11" spans="1:8" ht="17.25" customHeight="1" x14ac:dyDescent="0.3">
      <c r="A11" s="157"/>
      <c r="B11" s="155"/>
      <c r="C11" s="155"/>
      <c r="D11" s="155"/>
      <c r="E11" s="155"/>
      <c r="F11" s="155"/>
      <c r="G11" s="155"/>
      <c r="H11" s="156"/>
    </row>
    <row r="12" spans="1:8" ht="17.25" customHeight="1" x14ac:dyDescent="0.3">
      <c r="A12" s="157"/>
      <c r="B12" s="155"/>
      <c r="C12" s="155"/>
      <c r="D12" s="155"/>
      <c r="E12" s="155"/>
      <c r="F12" s="155"/>
      <c r="G12" s="155"/>
      <c r="H12" s="156"/>
    </row>
    <row r="13" spans="1:8" ht="17.25" customHeight="1" x14ac:dyDescent="0.3">
      <c r="A13" s="157"/>
      <c r="B13" s="155"/>
      <c r="C13" s="155"/>
      <c r="D13" s="155"/>
      <c r="E13" s="155"/>
      <c r="F13" s="155"/>
      <c r="G13" s="155"/>
      <c r="H13" s="156"/>
    </row>
    <row r="14" spans="1:8" ht="17.25" customHeight="1" x14ac:dyDescent="0.3">
      <c r="A14" s="157"/>
      <c r="B14" s="155"/>
      <c r="C14" s="155"/>
      <c r="D14" s="155"/>
      <c r="E14" s="155"/>
      <c r="F14" s="155"/>
      <c r="G14" s="155"/>
      <c r="H14" s="156"/>
    </row>
    <row r="15" spans="1:8" ht="17.25" customHeight="1" x14ac:dyDescent="0.3">
      <c r="A15" s="157"/>
      <c r="B15" s="155"/>
      <c r="C15" s="155"/>
      <c r="D15" s="155"/>
      <c r="E15" s="155"/>
      <c r="F15" s="155"/>
      <c r="G15" s="155"/>
      <c r="H15" s="156"/>
    </row>
    <row r="16" spans="1:8" ht="17.25" customHeight="1" x14ac:dyDescent="0.3">
      <c r="A16" s="157"/>
      <c r="B16" s="155"/>
      <c r="C16" s="155"/>
      <c r="D16" s="155"/>
      <c r="E16" s="155"/>
      <c r="F16" s="155"/>
      <c r="G16" s="155"/>
      <c r="H16" s="156"/>
    </row>
    <row r="17" spans="1:8" ht="17.25" customHeight="1" x14ac:dyDescent="0.3">
      <c r="A17" s="157"/>
      <c r="B17" s="155"/>
      <c r="C17" s="155"/>
      <c r="D17" s="155"/>
      <c r="E17" s="155"/>
      <c r="F17" s="155"/>
      <c r="G17" s="155"/>
      <c r="H17" s="156"/>
    </row>
    <row r="18" spans="1:8" ht="17.25" customHeight="1" x14ac:dyDescent="0.3">
      <c r="A18" s="157"/>
      <c r="B18" s="155"/>
      <c r="C18" s="155"/>
      <c r="D18" s="155"/>
      <c r="E18" s="155"/>
      <c r="F18" s="155"/>
      <c r="G18" s="155"/>
      <c r="H18" s="156"/>
    </row>
    <row r="19" spans="1:8" ht="17.25" customHeight="1" x14ac:dyDescent="0.3">
      <c r="A19" s="157"/>
      <c r="B19" s="155"/>
      <c r="C19" s="155"/>
      <c r="D19" s="155"/>
      <c r="E19" s="155"/>
      <c r="F19" s="155"/>
      <c r="G19" s="155"/>
      <c r="H19" s="156"/>
    </row>
    <row r="20" spans="1:8" ht="17.25" customHeight="1" x14ac:dyDescent="0.3">
      <c r="A20" s="157"/>
      <c r="B20" s="155"/>
      <c r="C20" s="155"/>
      <c r="D20" s="155"/>
      <c r="E20" s="155"/>
      <c r="F20" s="155"/>
      <c r="G20" s="155"/>
      <c r="H20" s="156"/>
    </row>
    <row r="21" spans="1:8" ht="17.25" customHeight="1" x14ac:dyDescent="0.3">
      <c r="A21" s="157"/>
      <c r="B21" s="155"/>
      <c r="C21" s="155"/>
      <c r="D21" s="155"/>
      <c r="E21" s="155"/>
      <c r="F21" s="155"/>
      <c r="G21" s="155"/>
      <c r="H21" s="156"/>
    </row>
    <row r="22" spans="1:8" ht="17.25" customHeight="1" x14ac:dyDescent="0.3">
      <c r="A22" s="157"/>
      <c r="B22" s="155"/>
      <c r="C22" s="155"/>
      <c r="D22" s="155"/>
      <c r="E22" s="155"/>
      <c r="F22" s="155"/>
      <c r="G22" s="155"/>
      <c r="H22" s="156"/>
    </row>
    <row r="23" spans="1:8" ht="17.25" customHeight="1" x14ac:dyDescent="0.3">
      <c r="A23" s="157"/>
      <c r="B23" s="155"/>
      <c r="C23" s="155"/>
      <c r="D23" s="155"/>
      <c r="E23" s="155"/>
      <c r="F23" s="155"/>
      <c r="G23" s="155"/>
      <c r="H23" s="156"/>
    </row>
    <row r="24" spans="1:8" ht="5.0999999999999996" customHeight="1" x14ac:dyDescent="0.3">
      <c r="A24" s="157"/>
      <c r="B24" s="155"/>
      <c r="C24" s="155"/>
      <c r="D24" s="155"/>
      <c r="E24" s="155"/>
      <c r="F24" s="155"/>
      <c r="G24" s="155"/>
      <c r="H24" s="156"/>
    </row>
    <row r="25" spans="1:8" ht="17.25" customHeight="1" x14ac:dyDescent="0.3">
      <c r="A25" s="157"/>
      <c r="B25" s="155"/>
      <c r="C25" s="155"/>
      <c r="D25" s="155"/>
      <c r="E25" s="155"/>
      <c r="F25" s="155"/>
      <c r="G25" s="155"/>
      <c r="H25" s="156"/>
    </row>
    <row r="26" spans="1:8" ht="17.25" customHeight="1" x14ac:dyDescent="0.3">
      <c r="A26" s="157"/>
      <c r="B26" s="155"/>
      <c r="C26" s="155"/>
      <c r="D26" s="155"/>
      <c r="E26" s="155"/>
      <c r="F26" s="155"/>
      <c r="G26" s="155"/>
      <c r="H26" s="156"/>
    </row>
    <row r="27" spans="1:8" ht="17.25" customHeight="1" x14ac:dyDescent="0.3">
      <c r="A27" s="157"/>
      <c r="B27" s="155"/>
      <c r="C27" s="155"/>
      <c r="D27" s="155"/>
      <c r="E27" s="155"/>
      <c r="F27" s="155"/>
      <c r="G27" s="155"/>
      <c r="H27" s="156"/>
    </row>
    <row r="28" spans="1:8" ht="17.25" customHeight="1" x14ac:dyDescent="0.3">
      <c r="A28" s="157"/>
      <c r="B28" s="155"/>
      <c r="C28" s="155"/>
      <c r="D28" s="155"/>
      <c r="E28" s="155"/>
      <c r="F28" s="155"/>
      <c r="G28" s="155"/>
      <c r="H28" s="156"/>
    </row>
    <row r="29" spans="1:8" ht="17.25" customHeight="1" x14ac:dyDescent="0.3">
      <c r="A29" s="157"/>
      <c r="B29" s="155"/>
      <c r="C29" s="155"/>
      <c r="D29" s="155"/>
      <c r="E29" s="155"/>
      <c r="F29" s="155"/>
      <c r="G29" s="155"/>
      <c r="H29" s="156"/>
    </row>
    <row r="30" spans="1:8" ht="17.25" customHeight="1" x14ac:dyDescent="0.3">
      <c r="A30" s="157"/>
      <c r="B30" s="155"/>
      <c r="C30" s="155"/>
      <c r="D30" s="155"/>
      <c r="E30" s="155"/>
      <c r="F30" s="155"/>
      <c r="G30" s="155"/>
      <c r="H30" s="156"/>
    </row>
    <row r="31" spans="1:8" ht="17.25" customHeight="1" x14ac:dyDescent="0.3">
      <c r="A31" s="157"/>
      <c r="B31" s="155"/>
      <c r="C31" s="155"/>
      <c r="D31" s="155"/>
      <c r="E31" s="155"/>
      <c r="F31" s="155"/>
      <c r="G31" s="155"/>
      <c r="H31" s="156"/>
    </row>
    <row r="32" spans="1:8" ht="17.25" customHeight="1" x14ac:dyDescent="0.3">
      <c r="A32" s="157"/>
      <c r="B32" s="155"/>
      <c r="C32" s="155"/>
      <c r="D32" s="155"/>
      <c r="E32" s="155"/>
      <c r="F32" s="155"/>
      <c r="G32" s="155"/>
      <c r="H32" s="156"/>
    </row>
    <row r="33" spans="1:8" ht="17.25" customHeight="1" x14ac:dyDescent="0.3">
      <c r="A33" s="157"/>
      <c r="B33" s="155"/>
      <c r="C33" s="155"/>
      <c r="D33" s="155"/>
      <c r="E33" s="155"/>
      <c r="F33" s="155"/>
      <c r="G33" s="155"/>
      <c r="H33" s="156"/>
    </row>
    <row r="34" spans="1:8" ht="17.25" customHeight="1" x14ac:dyDescent="0.3">
      <c r="A34" s="157"/>
      <c r="B34" s="155"/>
      <c r="C34" s="155"/>
      <c r="D34" s="155"/>
      <c r="E34" s="155"/>
      <c r="F34" s="155"/>
      <c r="G34" s="155"/>
      <c r="H34" s="156"/>
    </row>
    <row r="35" spans="1:8" ht="17.25" customHeight="1" x14ac:dyDescent="0.3">
      <c r="A35" s="157"/>
      <c r="B35" s="155"/>
      <c r="C35" s="155"/>
      <c r="D35" s="155"/>
      <c r="E35" s="155"/>
      <c r="F35" s="155"/>
      <c r="G35" s="155"/>
      <c r="H35" s="156"/>
    </row>
    <row r="36" spans="1:8" ht="5.0999999999999996" customHeight="1" x14ac:dyDescent="0.3">
      <c r="A36" s="157"/>
      <c r="B36" s="155"/>
      <c r="C36" s="155"/>
      <c r="D36" s="155"/>
      <c r="E36" s="155"/>
      <c r="F36" s="155"/>
      <c r="G36" s="155"/>
      <c r="H36" s="156"/>
    </row>
    <row r="37" spans="1:8" ht="17.25" customHeight="1" x14ac:dyDescent="0.3">
      <c r="A37" s="157"/>
      <c r="B37" s="155"/>
      <c r="C37" s="155"/>
      <c r="D37" s="155"/>
      <c r="E37" s="155"/>
      <c r="F37" s="155"/>
      <c r="G37" s="155"/>
      <c r="H37" s="156"/>
    </row>
    <row r="38" spans="1:8" ht="17.25" customHeight="1" x14ac:dyDescent="0.3">
      <c r="A38" s="157"/>
      <c r="B38" s="155"/>
      <c r="C38" s="155"/>
      <c r="D38" s="155"/>
      <c r="E38" s="155"/>
      <c r="F38" s="155"/>
      <c r="G38" s="155"/>
      <c r="H38" s="156"/>
    </row>
    <row r="39" spans="1:8" ht="17.25" customHeight="1" x14ac:dyDescent="0.3">
      <c r="A39" s="157"/>
      <c r="B39" s="155"/>
      <c r="C39" s="155"/>
      <c r="D39" s="155"/>
      <c r="E39" s="155"/>
      <c r="F39" s="155"/>
      <c r="G39" s="155"/>
      <c r="H39" s="156"/>
    </row>
    <row r="40" spans="1:8" ht="17.25" customHeight="1" x14ac:dyDescent="0.3">
      <c r="A40" s="157"/>
      <c r="B40" s="155"/>
      <c r="C40" s="155"/>
      <c r="D40" s="155"/>
      <c r="E40" s="155"/>
      <c r="F40" s="155"/>
      <c r="G40" s="155"/>
      <c r="H40" s="156"/>
    </row>
    <row r="41" spans="1:8" ht="17.25" customHeight="1" x14ac:dyDescent="0.3">
      <c r="A41" s="157"/>
      <c r="B41" s="155"/>
      <c r="C41" s="155"/>
      <c r="D41" s="155"/>
      <c r="E41" s="155"/>
      <c r="F41" s="155"/>
      <c r="G41" s="155"/>
      <c r="H41" s="156"/>
    </row>
    <row r="42" spans="1:8" ht="17.25" customHeight="1" x14ac:dyDescent="0.3">
      <c r="A42" s="157"/>
      <c r="B42" s="155"/>
      <c r="C42" s="155"/>
      <c r="D42" s="155"/>
      <c r="E42" s="155"/>
      <c r="F42" s="155"/>
      <c r="G42" s="155"/>
      <c r="H42" s="156"/>
    </row>
    <row r="43" spans="1:8" ht="17.25" customHeight="1" x14ac:dyDescent="0.3">
      <c r="A43" s="157"/>
      <c r="B43" s="155"/>
      <c r="C43" s="155"/>
      <c r="D43" s="155"/>
      <c r="E43" s="155"/>
      <c r="F43" s="155"/>
      <c r="G43" s="155"/>
      <c r="H43" s="156"/>
    </row>
    <row r="44" spans="1:8" ht="17.25" customHeight="1" x14ac:dyDescent="0.3">
      <c r="A44" s="157"/>
      <c r="B44" s="155"/>
      <c r="C44" s="155"/>
      <c r="D44" s="155"/>
      <c r="E44" s="155"/>
      <c r="F44" s="155"/>
      <c r="G44" s="155"/>
      <c r="H44" s="156"/>
    </row>
    <row r="45" spans="1:8" ht="17.25" customHeight="1" x14ac:dyDescent="0.3">
      <c r="A45" s="157"/>
      <c r="B45" s="155"/>
      <c r="C45" s="155"/>
      <c r="D45" s="155"/>
      <c r="E45" s="155"/>
      <c r="F45" s="155"/>
      <c r="G45" s="155"/>
      <c r="H45" s="156"/>
    </row>
    <row r="46" spans="1:8" ht="20.100000000000001" customHeight="1" thickBot="1" x14ac:dyDescent="0.35">
      <c r="A46" s="158"/>
      <c r="B46" s="159"/>
      <c r="C46" s="159"/>
      <c r="D46" s="159"/>
      <c r="E46" s="159"/>
      <c r="F46" s="159"/>
      <c r="G46" s="159"/>
      <c r="H46" s="160"/>
    </row>
    <row r="47" spans="1:8" ht="17.25" thickTop="1" x14ac:dyDescent="0.3"/>
  </sheetData>
  <mergeCells count="3">
    <mergeCell ref="A3:B4"/>
    <mergeCell ref="C3:E4"/>
    <mergeCell ref="A7:H46"/>
  </mergeCells>
  <phoneticPr fontId="1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95" orientation="portrait" r:id="rId1"/>
  <headerFooter>
    <oddHeader>&amp;R&amp;G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9</vt:i4>
      </vt:variant>
    </vt:vector>
  </HeadingPairs>
  <TitlesOfParts>
    <vt:vector size="18" baseType="lpstr">
      <vt:lpstr>다름_1월_마케팅보고서</vt:lpstr>
      <vt:lpstr>▶네이버_Main</vt:lpstr>
      <vt:lpstr>1. 네이버_진행내역</vt:lpstr>
      <vt:lpstr>▶성예사_Main</vt:lpstr>
      <vt:lpstr>성예사_세부내역</vt:lpstr>
      <vt:lpstr>▶유튜브</vt:lpstr>
      <vt:lpstr>▶분위기 및 현황</vt:lpstr>
      <vt:lpstr>▶분위기 및 현황 (2)</vt:lpstr>
      <vt:lpstr>▶분위기 및 현황 (3)</vt:lpstr>
      <vt:lpstr>▶네이버_Main!Print_Area</vt:lpstr>
      <vt:lpstr>'▶분위기 및 현황'!Print_Area</vt:lpstr>
      <vt:lpstr>'▶분위기 및 현황 (2)'!Print_Area</vt:lpstr>
      <vt:lpstr>'▶분위기 및 현황 (3)'!Print_Area</vt:lpstr>
      <vt:lpstr>▶성예사_Main!Print_Area</vt:lpstr>
      <vt:lpstr>▶유튜브!Print_Area</vt:lpstr>
      <vt:lpstr>'1. 네이버_진행내역'!Print_Area</vt:lpstr>
      <vt:lpstr>다름_1월_마케팅보고서!Print_Area</vt:lpstr>
      <vt:lpstr>성예사_세부내역!Print_Area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Wony Shin</dc:creator>
  <cp:lastModifiedBy>고 우리</cp:lastModifiedBy>
  <cp:lastPrinted>2026-01-05T01:23:24Z</cp:lastPrinted>
  <dcterms:created xsi:type="dcterms:W3CDTF">2024-06-19T08:34:11Z</dcterms:created>
  <dcterms:modified xsi:type="dcterms:W3CDTF">2026-02-03T02:55:37Z</dcterms:modified>
</cp:coreProperties>
</file>